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pa palabras clave" sheetId="2" state="visible" r:id="rId4"/>
    <sheet name="Competidores" sheetId="3" state="visible" r:id="rId5"/>
    <sheet name="Páginas y títulos" sheetId="4" state="visible" r:id="rId6"/>
    <sheet name="Preguntas blog-FAQ" sheetId="5" state="visible" r:id="rId7"/>
    <sheet name="Fuentes y método" sheetId="6" state="visible" r:id="rId8"/>
  </sheets>
  <definedNames>
    <definedName function="false" hidden="true" localSheetId="2" name="_xlnm._FilterDatabase" vbProcedure="false">Competidores!$A$1:$H$13</definedName>
    <definedName function="false" hidden="true" localSheetId="1" name="_xlnm._FilterDatabase" vbProcedure="false">'Mapa palabras clave'!$A$4:$I$59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<sst xmlns="http://schemas.openxmlformats.org/spreadsheetml/2006/main" count="688" uniqueCount="377">
  <si>
    <t xml:space="preserve">Resumen por cluster</t>
  </si>
  <si>
    <t xml:space="preserve">Cluster</t>
  </si>
  <si>
    <t xml:space="preserve">Nº palabras</t>
  </si>
  <si>
    <t xml:space="preserve">Prioridad alta</t>
  </si>
  <si>
    <t xml:space="preserve">Volumen total (cuando lo rellenéis)</t>
  </si>
  <si>
    <t xml:space="preserve">A domicilio (núcleo)</t>
  </si>
  <si>
    <t xml:space="preserve">Autismo / TEA</t>
  </si>
  <si>
    <t xml:space="preserve">TDAH</t>
  </si>
  <si>
    <t xml:space="preserve">Neurodesarrollo</t>
  </si>
  <si>
    <t xml:space="preserve">Diagnóstico / neuropsicología</t>
  </si>
  <si>
    <t xml:space="preserve">Sombra / colegio</t>
  </si>
  <si>
    <t xml:space="preserve">Terapia ocupacional</t>
  </si>
  <si>
    <t xml:space="preserve">Logopedia</t>
  </si>
  <si>
    <t xml:space="preserve">Psicología infantil</t>
  </si>
  <si>
    <t xml:space="preserve">Ayudas</t>
  </si>
  <si>
    <t xml:space="preserve">Local</t>
  </si>
  <si>
    <t xml:space="preserve">Total</t>
  </si>
  <si>
    <t xml:space="preserve">Cómo leerlo: 'Volumen total' se calcula solo cuando rellenéis la columna amarilla de la hoja 'Mapa palabras clave'.</t>
  </si>
  <si>
    <t xml:space="preserve">Proyecto PasiTOs · Mapa de palabras clave para la web</t>
  </si>
  <si>
    <t xml:space="preserve">Leyenda: las celdas amarillas de 'Volumen mensual' se rellenan con Google Keyword Planner o Search Console (no hay datos de volumen públicos fiables). Prioridad = encaje con vuestros servicios + intención de contratar + competencia observada. Fecha: 29-09-2026.</t>
  </si>
  <si>
    <t xml:space="preserve">Palabra clave</t>
  </si>
  <si>
    <t xml:space="preserve">Intención</t>
  </si>
  <si>
    <t xml:space="preserve">Prioridad</t>
  </si>
  <si>
    <t xml:space="preserve">Página destino propuesta</t>
  </si>
  <si>
    <t xml:space="preserve">Competidores que la trabajan</t>
  </si>
  <si>
    <t xml:space="preserve">Volumen mensual (rellenar)</t>
  </si>
  <si>
    <t xml:space="preserve">Uso en la web</t>
  </si>
  <si>
    <t xml:space="preserve">Notas</t>
  </si>
  <si>
    <t xml:space="preserve">terapia infantil a domicilio madrid</t>
  </si>
  <si>
    <t xml:space="preserve">Transaccional</t>
  </si>
  <si>
    <t xml:space="preserve">Alta</t>
  </si>
  <si>
    <t xml:space="preserve">/ (home)</t>
  </si>
  <si>
    <t xml:space="preserve">Codo con Codo TEA, Eva Téllez</t>
  </si>
  <si>
    <t xml:space="preserve">Title + H1 home</t>
  </si>
  <si>
    <t xml:space="preserve">Vuestra diferencia principal. Pocas webs la trabajan como paraguas de varias terapias.</t>
  </si>
  <si>
    <t xml:space="preserve">terapia a domicilio niños madrid</t>
  </si>
  <si>
    <t xml:space="preserve">Codo con Codo TEA</t>
  </si>
  <si>
    <t xml:space="preserve">H2 home</t>
  </si>
  <si>
    <t xml:space="preserve">terapia en casa para niños</t>
  </si>
  <si>
    <t xml:space="preserve">Media</t>
  </si>
  <si>
    <t xml:space="preserve">Terapia ocupacional en casa</t>
  </si>
  <si>
    <t xml:space="preserve">Texto home</t>
  </si>
  <si>
    <t xml:space="preserve">terapia en entorno natural niños</t>
  </si>
  <si>
    <t xml:space="preserve">Informativa</t>
  </si>
  <si>
    <t xml:space="preserve">/por-que-en-casa-y-en-el-cole</t>
  </si>
  <si>
    <t xml:space="preserve">Abaterapia, Felisa Casado</t>
  </si>
  <si>
    <t xml:space="preserve">H1 página 'por qué'</t>
  </si>
  <si>
    <t xml:space="preserve">Término técnico; acompañar siempre de 'a domicilio'.</t>
  </si>
  <si>
    <t xml:space="preserve">terapeuta infantil a domicilio</t>
  </si>
  <si>
    <t xml:space="preserve">terapia autismo madrid</t>
  </si>
  <si>
    <t xml:space="preserve">/autismo-tea</t>
  </si>
  <si>
    <t xml:space="preserve">Centro Juntos, Abaterapia, Apraxia</t>
  </si>
  <si>
    <t xml:space="preserve">Title + H1</t>
  </si>
  <si>
    <t xml:space="preserve">Alta competencia de centros; ganar con 'a domicilio'.</t>
  </si>
  <si>
    <t xml:space="preserve">terapia a domicilio niños con autismo</t>
  </si>
  <si>
    <t xml:space="preserve">H1 / H2</t>
  </si>
  <si>
    <t xml:space="preserve">Competidor más directo usa exactamente esta frase en su title.</t>
  </si>
  <si>
    <t xml:space="preserve">terapia TEA madrid</t>
  </si>
  <si>
    <t xml:space="preserve">Centro Juntos</t>
  </si>
  <si>
    <t xml:space="preserve">Title</t>
  </si>
  <si>
    <t xml:space="preserve">terapia ocupacional autismo</t>
  </si>
  <si>
    <t xml:space="preserve">Terapia ocupacional en casa, Eva Téllez</t>
  </si>
  <si>
    <t xml:space="preserve">H2</t>
  </si>
  <si>
    <t xml:space="preserve">logopeda TEA madrid</t>
  </si>
  <si>
    <t xml:space="preserve">/logopeda-infantil-a-domicilio</t>
  </si>
  <si>
    <t xml:space="preserve">Logopedas en Casa, Felisa Casado</t>
  </si>
  <si>
    <t xml:space="preserve">H2 logopedia</t>
  </si>
  <si>
    <t xml:space="preserve">Logopedas en Casa tiene landing propia con precio 'desde 39 €'.</t>
  </si>
  <si>
    <t xml:space="preserve">psicólogo autismo niños madrid</t>
  </si>
  <si>
    <t xml:space="preserve">Centro Juntos, Clínica T. Aparicio</t>
  </si>
  <si>
    <t xml:space="preserve">centros de autismo madrid</t>
  </si>
  <si>
    <t xml:space="preserve">Navegacional</t>
  </si>
  <si>
    <t xml:space="preserve">Directorios (ranking.madrid, espacioautismo)</t>
  </si>
  <si>
    <t xml:space="preserve">Texto + ficha en directorios</t>
  </si>
  <si>
    <t xml:space="preserve">Aparecer en los directorios que salen en esta búsqueda.</t>
  </si>
  <si>
    <t xml:space="preserve">asperger niños terapia madrid</t>
  </si>
  <si>
    <t xml:space="preserve">Baja</t>
  </si>
  <si>
    <t xml:space="preserve">Eva Téllez</t>
  </si>
  <si>
    <t xml:space="preserve">Texto</t>
  </si>
  <si>
    <t xml:space="preserve">Término antiguo pero aún se busca; mencionar como 'TEA (antes Asperger)'.</t>
  </si>
  <si>
    <t xml:space="preserve">psicólogo infantil TDAH madrid</t>
  </si>
  <si>
    <t xml:space="preserve">/tdah</t>
  </si>
  <si>
    <t xml:space="preserve">Instituto Cláritas, Centro Juntos, IPSIA</t>
  </si>
  <si>
    <t xml:space="preserve">tratamiento TDAH niños madrid</t>
  </si>
  <si>
    <t xml:space="preserve">Doctoralia, Centro Juntos</t>
  </si>
  <si>
    <t xml:space="preserve">TDAH a domicilio</t>
  </si>
  <si>
    <t xml:space="preserve">Vértices Psicólogos (apoyo psicoeducativo a domicilio)</t>
  </si>
  <si>
    <t xml:space="preserve">Casi nadie la trabaja: hueco.</t>
  </si>
  <si>
    <t xml:space="preserve">terapia ocupacional TDAH</t>
  </si>
  <si>
    <t xml:space="preserve">Nicho con poca competencia.</t>
  </si>
  <si>
    <t xml:space="preserve">hiperactividad niños tratamiento</t>
  </si>
  <si>
    <t xml:space="preserve">IPSIA</t>
  </si>
  <si>
    <t xml:space="preserve">Texto / FAQ</t>
  </si>
  <si>
    <t xml:space="preserve">trastornos del neurodesarrollo terapia madrid</t>
  </si>
  <si>
    <t xml:space="preserve">/ (home) o /que-tratamos</t>
  </si>
  <si>
    <t xml:space="preserve">Neural KIDS, Imaneuro, Citea</t>
  </si>
  <si>
    <t xml:space="preserve">Página '¿En qué os ayudamos?'</t>
  </si>
  <si>
    <t xml:space="preserve">Término paraguas para TEA, TDAH, lenguaje, aprendizaje.</t>
  </si>
  <si>
    <t xml:space="preserve">retraso madurativo terapia</t>
  </si>
  <si>
    <t xml:space="preserve">/que-tratamos</t>
  </si>
  <si>
    <t xml:space="preserve">Así lo buscan muchas familias aunque vuestra voz dice 'retos en el desarrollo'.</t>
  </si>
  <si>
    <t xml:space="preserve">dificultades de aprendizaje niños madrid</t>
  </si>
  <si>
    <t xml:space="preserve">Imaneuro, menteAmente</t>
  </si>
  <si>
    <t xml:space="preserve">problemas de conducta niños psicólogo madrid</t>
  </si>
  <si>
    <t xml:space="preserve">/psicologo-infantil-a-domicilio</t>
  </si>
  <si>
    <t xml:space="preserve">evaluación neuropsicológica infantil madrid</t>
  </si>
  <si>
    <t xml:space="preserve">/evaluacion-neuropsicologica</t>
  </si>
  <si>
    <t xml:space="preserve">menteAmente, Ideum, Astrane, Nadia Sánchez</t>
  </si>
  <si>
    <t xml:space="preserve">Ya tenéis la página: reforzarla.</t>
  </si>
  <si>
    <t xml:space="preserve">diagnóstico TDAH niños madrid</t>
  </si>
  <si>
    <t xml:space="preserve">Clínica NEA, Doctoralia, menteAmente</t>
  </si>
  <si>
    <t xml:space="preserve">diagnóstico autismo niños madrid</t>
  </si>
  <si>
    <t xml:space="preserve">Clínica T. Aparicio, CADE</t>
  </si>
  <si>
    <t xml:space="preserve">Revisar con el equipo qué pruebas y perfiles profesionales firman el informe antes de publicarlo.</t>
  </si>
  <si>
    <t xml:space="preserve">evaluación neuropsicológica precio madrid</t>
  </si>
  <si>
    <t xml:space="preserve">menteAmente (página de tarifas)</t>
  </si>
  <si>
    <t xml:space="preserve">Bloque de precio</t>
  </si>
  <si>
    <t xml:space="preserve">Mostrar precio o 'desde' gana clics.</t>
  </si>
  <si>
    <t xml:space="preserve">neuropsicólogo infantil madrid</t>
  </si>
  <si>
    <t xml:space="preserve">Ideum, Nadia Sánchez</t>
  </si>
  <si>
    <t xml:space="preserve">evaluación psicopedagógica niños</t>
  </si>
  <si>
    <t xml:space="preserve">CADE</t>
  </si>
  <si>
    <t xml:space="preserve">FAQ</t>
  </si>
  <si>
    <t xml:space="preserve">Explicar la diferencia con la neuropsicológica.</t>
  </si>
  <si>
    <t xml:space="preserve">maestro sombra madrid</t>
  </si>
  <si>
    <t xml:space="preserve">/acompanamiento-sombra-colegio</t>
  </si>
  <si>
    <t xml:space="preserve">Mondo Lirondo, Imaneuro</t>
  </si>
  <si>
    <t xml:space="preserve">El término más buscado por familias. Confirmar que ofrecéis el servicio.</t>
  </si>
  <si>
    <t xml:space="preserve">terapeuta sombra madrid</t>
  </si>
  <si>
    <t xml:space="preserve">Imaneuro, Mondo Lirondo</t>
  </si>
  <si>
    <t xml:space="preserve">acompañamiento sombra colegio</t>
  </si>
  <si>
    <t xml:space="preserve">H1</t>
  </si>
  <si>
    <t xml:space="preserve">Término vuestro; poca competencia.</t>
  </si>
  <si>
    <t xml:space="preserve">acompañante escolar autismo</t>
  </si>
  <si>
    <t xml:space="preserve">maestro sombra qué es</t>
  </si>
  <si>
    <t xml:space="preserve">/blog/que-es-un-maestro-sombra</t>
  </si>
  <si>
    <t xml:space="preserve">CEAC, MEDAC, abascool</t>
  </si>
  <si>
    <t xml:space="preserve">Artículo de blog</t>
  </si>
  <si>
    <t xml:space="preserve">Tratar el debate de la inclusión: el objetivo es la autonomía y retirarse poco a poco.</t>
  </si>
  <si>
    <t xml:space="preserve">terapia en el colegio madrid</t>
  </si>
  <si>
    <t xml:space="preserve">/terapia-en-el-colegio</t>
  </si>
  <si>
    <t xml:space="preserve">Imaneuro ('terapia en centro educativo')</t>
  </si>
  <si>
    <t xml:space="preserve">coordinación colegio terapeuta</t>
  </si>
  <si>
    <t xml:space="preserve">terapia ocupacional infantil madrid</t>
  </si>
  <si>
    <t xml:space="preserve">/terapia-ocupacional-infantil-a-domicilio</t>
  </si>
  <si>
    <t xml:space="preserve">Eva Téllez, Centro Juntos, La Salle</t>
  </si>
  <si>
    <t xml:space="preserve">terapia ocupacional a domicilio madrid</t>
  </si>
  <si>
    <t xml:space="preserve">Eva Téllez, Terapia ocupacional en casa, Doctoralia</t>
  </si>
  <si>
    <t xml:space="preserve">Eva Téllez posiciona con páginas por zona.</t>
  </si>
  <si>
    <t xml:space="preserve">integración sensorial madrid</t>
  </si>
  <si>
    <t xml:space="preserve">/integracion-sensorial</t>
  </si>
  <si>
    <t xml:space="preserve">Centro Juntos, Centro Altea, Terapytec</t>
  </si>
  <si>
    <t xml:space="preserve">integración sensorial a domicilio</t>
  </si>
  <si>
    <t xml:space="preserve">Hueco: los centros la venden en sala.</t>
  </si>
  <si>
    <t xml:space="preserve">problemas de alimentación niños selectividad</t>
  </si>
  <si>
    <t xml:space="preserve">/blog/mi-hijo-solo-come-patatas</t>
  </si>
  <si>
    <t xml:space="preserve">Blog</t>
  </si>
  <si>
    <t xml:space="preserve">Sale de las citas reales de vuestra persona.</t>
  </si>
  <si>
    <t xml:space="preserve">psicomotricidad infantil madrid</t>
  </si>
  <si>
    <t xml:space="preserve">/psicomotricidad</t>
  </si>
  <si>
    <t xml:space="preserve">Centro Juntos, Grupo Aris</t>
  </si>
  <si>
    <t xml:space="preserve">Tenéis psicomotricista en el equipo.</t>
  </si>
  <si>
    <t xml:space="preserve">logopeda infantil a domicilio madrid</t>
  </si>
  <si>
    <t xml:space="preserve">Logopedas en Casa, Logopeda Domicilio Madrid</t>
  </si>
  <si>
    <t xml:space="preserve">Competencia fuerte con precio visible.</t>
  </si>
  <si>
    <t xml:space="preserve">logopeda a domicilio madrid</t>
  </si>
  <si>
    <t xml:space="preserve">Logopedas en Casa, Cronoshare</t>
  </si>
  <si>
    <t xml:space="preserve">retraso del lenguaje niños logopeda</t>
  </si>
  <si>
    <t xml:space="preserve">Logopedas en Casa</t>
  </si>
  <si>
    <t xml:space="preserve">mi hijo no habla a los 2 años</t>
  </si>
  <si>
    <t xml:space="preserve">/blog/mi-hijo-no-habla</t>
  </si>
  <si>
    <t xml:space="preserve">psicólogo infantil a domicilio madrid</t>
  </si>
  <si>
    <t xml:space="preserve">Vértices Psicólogos</t>
  </si>
  <si>
    <t xml:space="preserve">Poca competencia específica 'a domicilio'.</t>
  </si>
  <si>
    <t xml:space="preserve">psicólogo infantil madrid</t>
  </si>
  <si>
    <t xml:space="preserve">Grupo Telos, psicologoinfantil.es</t>
  </si>
  <si>
    <t xml:space="preserve">Muy competida; apoyarse en 'a domicilio'.</t>
  </si>
  <si>
    <t xml:space="preserve">habilidades sociales niños madrid</t>
  </si>
  <si>
    <t xml:space="preserve">Centro Juntos (grupos)</t>
  </si>
  <si>
    <t xml:space="preserve">cheque servicio comunidad de madrid</t>
  </si>
  <si>
    <t xml:space="preserve">/cheque-servicio</t>
  </si>
  <si>
    <t xml:space="preserve">Aytona, ISIPE, Implica, Fisio y terapias a domicilio</t>
  </si>
  <si>
    <t xml:space="preserve">Ya existe</t>
  </si>
  <si>
    <t xml:space="preserve">Vuestra página ya aparece en resultados: mantenerla y enlazarla desde todas las demás.</t>
  </si>
  <si>
    <t xml:space="preserve">cheque servicio terapia niños</t>
  </si>
  <si>
    <t xml:space="preserve">cómo solicitar cheque servicio madrid</t>
  </si>
  <si>
    <t xml:space="preserve">Fisio y terapias a domicilio (guía larga)</t>
  </si>
  <si>
    <t xml:space="preserve">Su guía paso a paso con FAQ es el formato a igualar.</t>
  </si>
  <si>
    <t xml:space="preserve">atención temprana madrid</t>
  </si>
  <si>
    <t xml:space="preserve">Centro Juntos, Centro Altea, F. Bobath</t>
  </si>
  <si>
    <t xml:space="preserve">Solo si aplica</t>
  </si>
  <si>
    <t xml:space="preserve">Por confirmar: usar solo si vuestra acreditación cubre atención temprana.</t>
  </si>
  <si>
    <t xml:space="preserve">CRECOVI lista de espera</t>
  </si>
  <si>
    <t xml:space="preserve">/blog/lista-de-espera-crecovi</t>
  </si>
  <si>
    <t xml:space="preserve">Vuestras familias vienen de ahí (persona).</t>
  </si>
  <si>
    <t xml:space="preserve">terapia infantil a domicilio [barrio]</t>
  </si>
  <si>
    <t xml:space="preserve">/zonas/[barrio]</t>
  </si>
  <si>
    <t xml:space="preserve">Eva Téllez, Logopedas en Casa</t>
  </si>
  <si>
    <t xml:space="preserve">Páginas por zona</t>
  </si>
  <si>
    <t xml:space="preserve">Hacer solo para zonas donde tenéis terapeutas. Empezar por Madrid centro (80 % de clientes).</t>
  </si>
  <si>
    <t xml:space="preserve">terapeuta ocupacional infantil cerca de mí</t>
  </si>
  <si>
    <t xml:space="preserve">Ficha de Google</t>
  </si>
  <si>
    <t xml:space="preserve">Doctoralia, Salucity</t>
  </si>
  <si>
    <t xml:space="preserve">Google Business Profile</t>
  </si>
  <si>
    <t xml:space="preserve">Corregir la ubicación (aparece Tres Cantos) y pedir reseñas.</t>
  </si>
  <si>
    <t xml:space="preserve">Competidor</t>
  </si>
  <si>
    <t xml:space="preserve">Web</t>
  </si>
  <si>
    <t xml:space="preserve">Ubicación</t>
  </si>
  <si>
    <t xml:space="preserve">Qué ofrece</t>
  </si>
  <si>
    <t xml:space="preserve">Title / H1 de su web (palabras clave que usan)</t>
  </si>
  <si>
    <t xml:space="preserve">Lo que hacen bien en SEO</t>
  </si>
  <si>
    <t xml:space="preserve">Hueco para PasiTOs</t>
  </si>
  <si>
    <t xml:space="preserve">Tipo</t>
  </si>
  <si>
    <t xml:space="preserve">codoconcodotea.es</t>
  </si>
  <si>
    <t xml:space="preserve">Madrid</t>
  </si>
  <si>
    <t xml:space="preserve">Terapia a domicilio para niños con autismo, asesoramiento, formación. Aceptan cheque servicio.</t>
  </si>
  <si>
    <t xml:space="preserve">Title: «Terapia a Domicilio para Niños con Autismo». H1: «Terapia a domicilio para niños y niñas con autismo, asesoramiento y formaciones».</t>
  </si>
  <si>
    <t xml:space="preserve">Keyword exacta en title, H1 y meta.</t>
  </si>
  <si>
    <t xml:space="preserve">Solo TEA; no cubren TDAH, logopedia ni evaluación. PasiTOs puede competir con un equipo más amplio.</t>
  </si>
  <si>
    <t xml:space="preserve">Directo</t>
  </si>
  <si>
    <t xml:space="preserve">evatellez.com</t>
  </si>
  <si>
    <t xml:space="preserve">Madrid este (22 zonas: Salamanca, Retiro, Vallecas, Coslada, Rivas, Torrejón…)</t>
  </si>
  <si>
    <t xml:space="preserve">Terapia ocupacional infantil a domicilio y asesoramiento online.</t>
  </si>
  <si>
    <t xml:space="preserve">Title: «Terapia ocupacional infantil en Madrid a domicilio». H1: «Terapia Ocupacional Infantil».</t>
  </si>
  <si>
    <t xml:space="preserve">Lista de zonas y de diagnósticos (TEA, TDAH, TEL, síndromes); blog de infancia.</t>
  </si>
  <si>
    <t xml:space="preserve">Profesional individual: no hay logopedia, psicología ni neuropsicología.</t>
  </si>
  <si>
    <t xml:space="preserve">logopedasencasa.com</t>
  </si>
  <si>
    <t xml:space="preserve">Madrid (17 distritos)</t>
  </si>
  <si>
    <t xml:space="preserve">Logopedia a domicilio infantil y adultos; landings por patología (TEA, atención temprana).</t>
  </si>
  <si>
    <t xml:space="preserve">Title: «Logopeda para TEA en Madrid desde 39€ - Especialista en Autismo». H1: «Logopeda para TEA a domicilio en Madrid».</t>
  </si>
  <si>
    <t xml:space="preserve">Una landing por patología, precio en el title, FAQ, barrios.</t>
  </si>
  <si>
    <t xml:space="preserve">Usan «resultados garantizados» (vosotros no). Sin TO ni psicología infantil.</t>
  </si>
  <si>
    <t xml:space="preserve">Terapia ocupacional en casa (Irene Pascual)</t>
  </si>
  <si>
    <t xml:space="preserve">terapiaocupacionalencasa.es</t>
  </si>
  <si>
    <t xml:space="preserve">Hortaleza, Madrid</t>
  </si>
  <si>
    <t xml:space="preserve">TO a domicilio para niños y adultos; autismo e integración sensorial.</t>
  </si>
  <si>
    <t xml:space="preserve">Title: «Terapia ocupacional a domicilio - terapia ocupacional en casa».</t>
  </si>
  <si>
    <t xml:space="preserve">Keyword exacta «terapia ocupacional en casa».</t>
  </si>
  <si>
    <t xml:space="preserve">Web personal; mezcla infancia y adultos.</t>
  </si>
  <si>
    <t xml:space="preserve">Imaneuro</t>
  </si>
  <si>
    <t xml:space="preserve">imaneuro.es</t>
  </si>
  <si>
    <t xml:space="preserve">Torrejón de Ardoz</t>
  </si>
  <si>
    <t xml:space="preserve">Centro: terapeuta sombra, terapia en centro educativo, neuropsicología, logopedia, TO.</t>
  </si>
  <si>
    <t xml:space="preserve">Title: «Imaneuro | Centro de Terapias y Psicología en Torrejón de Ardoz». Servicio «Terapeuta sombra».</t>
  </si>
  <si>
    <t xml:space="preserve">Página propia de terapeuta sombra; menciona trastornos del neurodesarrollo.</t>
  </si>
  <si>
    <t xml:space="preserve">Local de Torrejón; la página de sombra no carga (error 404).</t>
  </si>
  <si>
    <t xml:space="preserve">Directo (sombra)</t>
  </si>
  <si>
    <t xml:space="preserve">Centro Mondo Lirondo</t>
  </si>
  <si>
    <t xml:space="preserve">centromondolirondo.com</t>
  </si>
  <si>
    <t xml:space="preserve">Ensanche de Vallecas</t>
  </si>
  <si>
    <t xml:space="preserve">Centro con servicio de terapeuta sombra.</t>
  </si>
  <si>
    <t xml:space="preserve">Title: «Terapeuta sombra | Centro Mondo Lirondo». Meta: «El terapeuta sombra o maestro sombra es una figura…».</t>
  </si>
  <si>
    <t xml:space="preserve">Usa a la vez «terapeuta sombra» y «maestro sombra».</t>
  </si>
  <si>
    <t xml:space="preserve">Página corta y sin FAQ ni precio.</t>
  </si>
  <si>
    <t xml:space="preserve">Felisa Casado · Logopedia en contexto natural</t>
  </si>
  <si>
    <t xml:space="preserve">logopediacontextonatural.com</t>
  </si>
  <si>
    <t xml:space="preserve">Logopedia a domicilio para niños con TEA.</t>
  </si>
  <si>
    <t xml:space="preserve">Title: «Logopedia a domicilio para niños con TEA».</t>
  </si>
  <si>
    <t xml:space="preserve">El dominio contiene «contexto natural».</t>
  </si>
  <si>
    <t xml:space="preserve">No se pudo leer la web (bloqueo); revisar a mano.</t>
  </si>
  <si>
    <t xml:space="preserve">centrojuntos.es</t>
  </si>
  <si>
    <t xml:space="preserve">Chamberí (centro físico)</t>
  </si>
  <si>
    <t xml:space="preserve">Atención temprana, logopedia, TO, integración sensorial, psicología, fisio, grupos de habilidades sociales.</t>
  </si>
  <si>
    <t xml:space="preserve">Title home: «Tu Centro de Atención Temprana | Atención temprana en Madrid». TEA: «Psicólogo para TEA o autismo». Landings de TDAH, integración sensorial y psicomotricidad.</t>
  </si>
  <si>
    <t xml:space="preserve">Una landing por patología y por terapia; aparece en casi todas las búsquedas.</t>
  </si>
  <si>
    <t xml:space="preserve">Centro físico; nada a domicilio ni en colegio.</t>
  </si>
  <si>
    <t xml:space="preserve">Indirecto (líder SEO)</t>
  </si>
  <si>
    <t xml:space="preserve">menteAmente</t>
  </si>
  <si>
    <t xml:space="preserve">menteamente.com</t>
  </si>
  <si>
    <t xml:space="preserve">Madrid (C. Máiquez)</t>
  </si>
  <si>
    <t xml:space="preserve">Neuropsicología infantil y adultos: evaluación TDAH, TEA, aprendizaje.</t>
  </si>
  <si>
    <t xml:space="preserve">Title: «Clínica de neuropsicología en Madrid | Niños y adultos». Tiene página «tarifas-neuropsicologo-madrid».</t>
  </si>
  <si>
    <t xml:space="preserve">Página de precios propia que posiciona.</t>
  </si>
  <si>
    <t xml:space="preserve">En clínica; no hay terapia posterior en casa.</t>
  </si>
  <si>
    <t xml:space="preserve">Indirecto (evaluación)</t>
  </si>
  <si>
    <t xml:space="preserve">Abaterapia</t>
  </si>
  <si>
    <t xml:space="preserve">abaterapia.com</t>
  </si>
  <si>
    <t xml:space="preserve">Tres Cantos</t>
  </si>
  <si>
    <t xml:space="preserve">Terapia ABA para autismo; empieza en el ambiente natural del niño.</t>
  </si>
  <si>
    <t xml:space="preserve">«Terapia ABA Madrid · Especialistas en Autismo».</t>
  </si>
  <si>
    <t xml:space="preserve">Contenido largo explicativo sobre ABA.</t>
  </si>
  <si>
    <t xml:space="preserve">Metodología única (ABA).</t>
  </si>
  <si>
    <t xml:space="preserve">Indirecto</t>
  </si>
  <si>
    <t xml:space="preserve">Logopeda Domicilio Madrid</t>
  </si>
  <si>
    <t xml:space="preserve">logopedadomicilio.es</t>
  </si>
  <si>
    <t xml:space="preserve">Madrid (Castellana)</t>
  </si>
  <si>
    <t xml:space="preserve">Logopedia niños y adultos a domicilio.</t>
  </si>
  <si>
    <t xml:space="preserve">Title: «Logopeda Domicilio Madrid - Servicios de Logopedia a domicilio Madrid».</t>
  </si>
  <si>
    <t xml:space="preserve">Dominio exacto.</t>
  </si>
  <si>
    <t xml:space="preserve">No especializado en infancia ni neurodesarrollo.</t>
  </si>
  <si>
    <t xml:space="preserve">Directorios</t>
  </si>
  <si>
    <t xml:space="preserve">Doctoralia, Top Doctors, MundoPsicologos, Salucity, TEADORO, ranking.madrid</t>
  </si>
  <si>
    <t xml:space="preserve">Listados de profesionales.</t>
  </si>
  <si>
    <t xml:space="preserve">Salen arriba en «TDAH Madrid», «TEA Madrid», «terapeuta ocupacional infantil Madrid».</t>
  </si>
  <si>
    <t xml:space="preserve">Autoridad de dominio muy alta.</t>
  </si>
  <si>
    <t xml:space="preserve">Daros de alta con ficha completa: es la vía rápida para aparecer en esas búsquedas.</t>
  </si>
  <si>
    <t xml:space="preserve">Canal</t>
  </si>
  <si>
    <t xml:space="preserve">Página (URL)</t>
  </si>
  <si>
    <t xml:space="preserve">Palabra clave principal</t>
  </si>
  <si>
    <t xml:space="preserve">Title propuesto (máx. 60)</t>
  </si>
  <si>
    <t xml:space="preserve">Nº caracteres title</t>
  </si>
  <si>
    <t xml:space="preserve">Meta description propuesta (máx. 155)</t>
  </si>
  <si>
    <t xml:space="preserve">Nº caracteres meta</t>
  </si>
  <si>
    <t xml:space="preserve">H1 propuesto</t>
  </si>
  <si>
    <t xml:space="preserve">/</t>
  </si>
  <si>
    <t xml:space="preserve">Terapia infantil a domicilio en Madrid | Proyecto PasiTOs</t>
  </si>
  <si>
    <t xml:space="preserve">Terapia ocupacional, logopedia y psicología infantil en casa y en el cole. Centro acreditado por la Comunidad de Madrid. Te asesoramos gratis.</t>
  </si>
  <si>
    <t xml:space="preserve">Terapia infantil a domicilio y en el cole, en Madrid</t>
  </si>
  <si>
    <t xml:space="preserve">Terapia para niños con autismo (TEA) a domicilio | PasiTOs</t>
  </si>
  <si>
    <t xml:space="preserve">Terapia ocupacional, logopedia y psicología para niños con TEA en casa y en el colegio. Nos coordinamos con su cole. Madrid.</t>
  </si>
  <si>
    <t xml:space="preserve">Terapia a domicilio para niños con autismo (TEA)</t>
  </si>
  <si>
    <t xml:space="preserve">TDAH en niños: terapia a domicilio en Madrid | PasiTOs</t>
  </si>
  <si>
    <t xml:space="preserve">Psicología y terapia ocupacional para niños con TDAH en casa y en el cole. Estrategias para el día a día de la familia.</t>
  </si>
  <si>
    <t xml:space="preserve">Terapia para niños con TDAH, en casa y en el cole</t>
  </si>
  <si>
    <t xml:space="preserve">Evaluación neuropsicológica infantil y diagnóstico | PasiTOs</t>
  </si>
  <si>
    <t xml:space="preserve">Evaluación neuropsicológica para TDAH, TEA y dificultades de aprendizaje. Entendemos cómo procesa tu hijo y te damos un plan. Madrid.</t>
  </si>
  <si>
    <t xml:space="preserve">Evaluación neuropsicológica infantil y diagnóstico</t>
  </si>
  <si>
    <t xml:space="preserve">Acompañamiento sombra en el colegio (maestro sombra) | PasiTOs</t>
  </si>
  <si>
    <t xml:space="preserve">Terapeuta sombra en el aula para niños con TEA o TDAH en Madrid. Objetivo: autonomía y participación con sus compañeros.</t>
  </si>
  <si>
    <t xml:space="preserve">Acompañamiento sombra en el colegio</t>
  </si>
  <si>
    <t xml:space="preserve">Terapia ocupacional infantil a domicilio en Madrid | PasiTOs</t>
  </si>
  <si>
    <t xml:space="preserve">Terapeutas ocupacionales infantiles en casa y en el colegio: autonomía, integración sensorial, motricidad y alimentación.</t>
  </si>
  <si>
    <t xml:space="preserve">Terapia ocupacional infantil a domicilio</t>
  </si>
  <si>
    <t xml:space="preserve">Integración sensorial para niños en casa | Madrid | PasiTOs</t>
  </si>
  <si>
    <t xml:space="preserve">Terapia de integración sensorial en el entorno del niño, con estrategias para casa y cole. Terapeutas ocupacionales infantiles.</t>
  </si>
  <si>
    <t xml:space="preserve">Integración sensorial en casa y en el cole</t>
  </si>
  <si>
    <t xml:space="preserve">Logopeda infantil a domicilio en Madrid | Proyecto PasiTOs</t>
  </si>
  <si>
    <t xml:space="preserve">Logopedia para niños en casa: retraso del lenguaje, TEA y comunicación. Coordinación con el colegio.</t>
  </si>
  <si>
    <t xml:space="preserve">Logopeda infantil a domicilio en Madrid</t>
  </si>
  <si>
    <t xml:space="preserve">Psicólogo infantil a domicilio en Madrid | Proyecto PasiTOs</t>
  </si>
  <si>
    <t xml:space="preserve">Psicología infantil en casa: conducta, emociones, TDAH y TEA. Apoyo y estrategias para toda la familia.</t>
  </si>
  <si>
    <t xml:space="preserve">Psicólogo infantil a domicilio</t>
  </si>
  <si>
    <t xml:space="preserve">Cheque servicio Comunidad de Madrid: cómo pedirlo | PasiTOs</t>
  </si>
  <si>
    <t xml:space="preserve">Qué es el cheque servicio, quién puede pedirlo y cómo usarlo en terapia infantil. Somos centro acreditado (S8268).</t>
  </si>
  <si>
    <t xml:space="preserve">Cheque servicio de la Comunidad de Madrid</t>
  </si>
  <si>
    <t xml:space="preserve">Las celdas se ponen en rojo si el title pasa de 60 caracteres o la meta de 155 (Google los corta).</t>
  </si>
  <si>
    <t xml:space="preserve">Pregunta que hacen las familias</t>
  </si>
  <si>
    <t xml:space="preserve">Formato</t>
  </si>
  <si>
    <t xml:space="preserve">Página donde enlazar</t>
  </si>
  <si>
    <t xml:space="preserve">¿Cómo saber si mi hijo tiene autismo? Señales por edad</t>
  </si>
  <si>
    <t xml:space="preserve">¿Qué terapias necesita un niño con autismo?</t>
  </si>
  <si>
    <t xml:space="preserve">¿Terapia en casa o en un centro? Qué dice la evidencia</t>
  </si>
  <si>
    <t xml:space="preserve">¿Qué es la terapia ocupacional infantil y cuándo se necesita?</t>
  </si>
  <si>
    <t xml:space="preserve">Blog + FAQ</t>
  </si>
  <si>
    <t xml:space="preserve">¿Qué es la integración sensorial?</t>
  </si>
  <si>
    <t xml:space="preserve">Mi hijo solo quiere comer patatas fritas: ¿es selectividad alimentaria?</t>
  </si>
  <si>
    <t xml:space="preserve">Mi hijo no habla a los 2 años: ¿cuándo ir al logopeda?</t>
  </si>
  <si>
    <t xml:space="preserve">Síntomas de TDAH en niños: qué observar en casa y en el cole</t>
  </si>
  <si>
    <t xml:space="preserve">¿Cómo se diagnostica el TDAH en niños?</t>
  </si>
  <si>
    <t xml:space="preserve">¿Qué es una evaluación neuropsicológica y cuánto cuesta?</t>
  </si>
  <si>
    <t xml:space="preserve">¿Qué es un maestro sombra y cuándo lo necesita un niño?</t>
  </si>
  <si>
    <t xml:space="preserve">¿El colegio tiene que aceptar a un terapeuta sombra?</t>
  </si>
  <si>
    <t xml:space="preserve">¿Qué es el cheque servicio y cómo se solicita?</t>
  </si>
  <si>
    <t xml:space="preserve">¿Cuánto tarda CRECOVI? Qué hacer mientras esperas</t>
  </si>
  <si>
    <t xml:space="preserve">¿Cuánto dura la terapia infantil?</t>
  </si>
  <si>
    <t xml:space="preserve">¿Qué pasa si cancelo una sesión?</t>
  </si>
  <si>
    <t xml:space="preserve">¿Hace falta preparar algo en casa para la primera valoración?</t>
  </si>
  <si>
    <t xml:space="preserve">Método</t>
  </si>
  <si>
    <t xml:space="preserve">1. Búsquedas en Google (29-09-2026) de las combinaciones que usan las familias: terapia, autismo/TEA, TDAH, neurodesarrollo, diagnóstico, maestro/terapeuta sombra, logopeda, terapia ocupacional, integración sensorial, cheque servicio, siempre con 'Madrid' y 'a domicilio'.</t>
  </si>
  <si>
    <t xml:space="preserve">2. Lectura del title, meta description y encabezados de las webs competidoras que salen en esos resultados.</t>
  </si>
  <si>
    <t xml:space="preserve">3. Priorización según encaje con vuestros servicios, intención de contratar y competencia observada.</t>
  </si>
  <si>
    <t xml:space="preserve">Límite: no hay datos de volumen de búsqueda. Rellenadlos con Google Keyword Planner (gratis con una cuenta de Google Ads) o con Google Search Console de la web actual.</t>
  </si>
  <si>
    <t xml:space="preserve">Fuentes consultadas</t>
  </si>
  <si>
    <t xml:space="preserve">https://codoconcodotea.es/</t>
  </si>
  <si>
    <t xml:space="preserve">https://evatellez.com/terapia-ocupacional-infantil/</t>
  </si>
  <si>
    <t xml:space="preserve">https://logopedasencasa.com/logopeda-tea</t>
  </si>
  <si>
    <t xml:space="preserve">https://terapiaocupacionalencasa.es/sobre-mi</t>
  </si>
  <si>
    <t xml:space="preserve">https://imaneuro.es/</t>
  </si>
  <si>
    <t xml:space="preserve">https://www.centromondolirondo.com/terapeuta-sombra</t>
  </si>
  <si>
    <t xml:space="preserve">https://centrojuntos.es/</t>
  </si>
  <si>
    <t xml:space="preserve">https://centrojuntos.es/psicologia-infantil/tea/</t>
  </si>
  <si>
    <t xml:space="preserve">https://www.menteamente.com/neuropsicologia-madrid</t>
  </si>
  <si>
    <t xml:space="preserve">https://abaterapia.com/terapia-autismo-aba/</t>
  </si>
  <si>
    <t xml:space="preserve">https://www.logopedadomicilio.es/</t>
  </si>
  <si>
    <t xml:space="preserve">https://www.fisioterapeutasadomiciliomadrid.com/cheque-servicio-comunidad-madrid/</t>
  </si>
  <si>
    <t xml:space="preserve">https://www.proyectopasitos.es/cheque-servicio (aparece en resultados de 'cheque servicio')</t>
  </si>
  <si>
    <t xml:space="preserve">https://abcnoticias.mx/local/2026/9/10/concepto-de-maestro-sombra-en-escuelas-es-excluyente-para-ninos-con-autismo-expertos-289363.html (debate sobre la figura del maestro sombra)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</si>
</sst>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#,##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C47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4A6873"/>
      <name val="Arial"/>
      <family val="0"/>
      <charset val="1"/>
    </font>
    <font>
      <b val="true"/>
      <sz val="10"/>
      <color rgb="FF0C4759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C4759"/>
        <bgColor rgb="FF12533A"/>
      </patternFill>
    </fill>
    <fill>
      <patternFill patternType="solid">
        <fgColor rgb="FFFFF4CC"/>
        <bgColor rgb="FFFDE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C47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F0E2"/>
          <bgColor rgb="FF000000"/>
        </patternFill>
      </fill>
    </dxf>
    <dxf>
      <fill>
        <patternFill patternType="solid">
          <fgColor rgb="FF12533A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ont>
        <name val="Arial"/>
        <charset val="1"/>
        <family val="0"/>
        <b val="1"/>
        <color rgb="FF12533A"/>
      </font>
      <fill>
        <patternFill>
          <bgColor rgb="FFD6F0E2"/>
        </patternFill>
      </fill>
    </dxf>
    <dxf>
      <fill>
        <patternFill>
          <bgColor rgb="FFFDE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F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2"/>
      <rgbColor rgb="FFFFFF99"/>
      <rgbColor rgb="FF99CCFF"/>
      <rgbColor rgb="FFFF99CC"/>
      <rgbColor rgb="FFCC99FF"/>
      <rgbColor rgb="FFFDE1DC"/>
      <rgbColor rgb="FF3366FF"/>
      <rgbColor rgb="FF33CCCC"/>
      <rgbColor rgb="FF99CC00"/>
      <rgbColor rgb="FFFFCC00"/>
      <rgbColor rgb="FFFF9900"/>
      <rgbColor rgb="FFFF6600"/>
      <rgbColor rgb="FF4A6873"/>
      <rgbColor rgb="FF969696"/>
      <rgbColor rgb="FF0C4759"/>
      <rgbColor rgb="FF339966"/>
      <rgbColor rgb="FF003300"/>
      <rgbColor rgb="FF333300"/>
      <rgbColor rgb="FF993300"/>
      <rgbColor rgb="FF993366"/>
      <rgbColor rgb="FF333399"/>
      <rgbColor rgb="FF125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n">
        <f aca="false">COUNTIF('Mapa palabras clave'!$A$5:$A$59,A4)</f>
        <v>5</v>
      </c>
      <c r="C4" s="3" t="n">
        <f aca="false">COUNTIFS('Mapa palabras clave'!$A$5:$A$59,A4,'Mapa palabras clave'!$D$5:$D$59,"Alta")</f>
        <v>2</v>
      </c>
      <c r="D4" s="4" t="n">
        <f aca="false">SUMIF('Mapa palabras clave'!$A$5:$A$59,A4,'Mapa palabras clave'!$G$5:$G$59)</f>
        <v>0</v>
      </c>
    </row>
    <row r="5" customFormat="false" ht="15" hidden="false" customHeight="false" outlineLevel="0" collapsed="false">
      <c r="A5" s="3" t="s">
        <v>6</v>
      </c>
      <c r="B5" s="3" t="n">
        <f aca="false">COUNTIF('Mapa palabras clave'!$A$5:$A$59,A5)</f>
        <v>8</v>
      </c>
      <c r="C5" s="3" t="n">
        <f aca="false">COUNTIFS('Mapa palabras clave'!$A$5:$A$59,A5,'Mapa palabras clave'!$D$5:$D$59,"Alta")</f>
        <v>5</v>
      </c>
      <c r="D5" s="4" t="n">
        <f aca="false">SUMIF('Mapa palabras clave'!$A$5:$A$59,A5,'Mapa palabras clave'!$G$5:$G$59)</f>
        <v>0</v>
      </c>
    </row>
    <row r="6" customFormat="false" ht="15" hidden="false" customHeight="false" outlineLevel="0" collapsed="false">
      <c r="A6" s="3" t="s">
        <v>7</v>
      </c>
      <c r="B6" s="3" t="n">
        <f aca="false">COUNTIF('Mapa palabras clave'!$A$5:$A$59,A6)</f>
        <v>5</v>
      </c>
      <c r="C6" s="3" t="n">
        <f aca="false">COUNTIFS('Mapa palabras clave'!$A$5:$A$59,A6,'Mapa palabras clave'!$D$5:$D$59,"Alta")</f>
        <v>2</v>
      </c>
      <c r="D6" s="4" t="n">
        <f aca="false">SUMIF('Mapa palabras clave'!$A$5:$A$59,A6,'Mapa palabras clave'!$G$5:$G$59)</f>
        <v>0</v>
      </c>
    </row>
    <row r="7" customFormat="false" ht="15" hidden="false" customHeight="false" outlineLevel="0" collapsed="false">
      <c r="A7" s="3" t="s">
        <v>8</v>
      </c>
      <c r="B7" s="3" t="n">
        <f aca="false">COUNTIF('Mapa palabras clave'!$A$5:$A$59,A7)</f>
        <v>4</v>
      </c>
      <c r="C7" s="3" t="n">
        <f aca="false">COUNTIFS('Mapa palabras clave'!$A$5:$A$59,A7,'Mapa palabras clave'!$D$5:$D$59,"Alta")</f>
        <v>0</v>
      </c>
      <c r="D7" s="4" t="n">
        <f aca="false">SUMIF('Mapa palabras clave'!$A$5:$A$59,A7,'Mapa palabras clave'!$G$5:$G$59)</f>
        <v>0</v>
      </c>
    </row>
    <row r="8" customFormat="false" ht="15" hidden="false" customHeight="false" outlineLevel="0" collapsed="false">
      <c r="A8" s="3" t="s">
        <v>9</v>
      </c>
      <c r="B8" s="3" t="n">
        <f aca="false">COUNTIF('Mapa palabras clave'!$A$5:$A$59,A8)</f>
        <v>6</v>
      </c>
      <c r="C8" s="3" t="n">
        <f aca="false">COUNTIFS('Mapa palabras clave'!$A$5:$A$59,A8,'Mapa palabras clave'!$D$5:$D$59,"Alta")</f>
        <v>4</v>
      </c>
      <c r="D8" s="4" t="n">
        <f aca="false">SUMIF('Mapa palabras clave'!$A$5:$A$59,A8,'Mapa palabras clave'!$G$5:$G$59)</f>
        <v>0</v>
      </c>
    </row>
    <row r="9" customFormat="false" ht="15" hidden="false" customHeight="false" outlineLevel="0" collapsed="false">
      <c r="A9" s="3" t="s">
        <v>10</v>
      </c>
      <c r="B9" s="3" t="n">
        <f aca="false">COUNTIF('Mapa palabras clave'!$A$5:$A$59,A9)</f>
        <v>7</v>
      </c>
      <c r="C9" s="3" t="n">
        <f aca="false">COUNTIFS('Mapa palabras clave'!$A$5:$A$59,A9,'Mapa palabras clave'!$D$5:$D$59,"Alta")</f>
        <v>3</v>
      </c>
      <c r="D9" s="4" t="n">
        <f aca="false">SUMIF('Mapa palabras clave'!$A$5:$A$59,A9,'Mapa palabras clave'!$G$5:$G$59)</f>
        <v>0</v>
      </c>
    </row>
    <row r="10" customFormat="false" ht="15" hidden="false" customHeight="false" outlineLevel="0" collapsed="false">
      <c r="A10" s="3" t="s">
        <v>11</v>
      </c>
      <c r="B10" s="3" t="n">
        <f aca="false">COUNTIF('Mapa palabras clave'!$A$5:$A$59,A10)</f>
        <v>6</v>
      </c>
      <c r="C10" s="3" t="n">
        <f aca="false">COUNTIFS('Mapa palabras clave'!$A$5:$A$59,A10,'Mapa palabras clave'!$D$5:$D$59,"Alta")</f>
        <v>3</v>
      </c>
      <c r="D10" s="4" t="n">
        <f aca="false">SUMIF('Mapa palabras clave'!$A$5:$A$59,A10,'Mapa palabras clave'!$G$5:$G$59)</f>
        <v>0</v>
      </c>
    </row>
    <row r="11" customFormat="false" ht="15" hidden="false" customHeight="false" outlineLevel="0" collapsed="false">
      <c r="A11" s="3" t="s">
        <v>12</v>
      </c>
      <c r="B11" s="3" t="n">
        <f aca="false">COUNTIF('Mapa palabras clave'!$A$5:$A$59,A11)</f>
        <v>4</v>
      </c>
      <c r="C11" s="3" t="n">
        <f aca="false">COUNTIFS('Mapa palabras clave'!$A$5:$A$59,A11,'Mapa palabras clave'!$D$5:$D$59,"Alta")</f>
        <v>2</v>
      </c>
      <c r="D11" s="4" t="n">
        <f aca="false">SUMIF('Mapa palabras clave'!$A$5:$A$59,A11,'Mapa palabras clave'!$G$5:$G$59)</f>
        <v>0</v>
      </c>
    </row>
    <row r="12" customFormat="false" ht="15" hidden="false" customHeight="false" outlineLevel="0" collapsed="false">
      <c r="A12" s="3" t="s">
        <v>13</v>
      </c>
      <c r="B12" s="3" t="n">
        <f aca="false">COUNTIF('Mapa palabras clave'!$A$5:$A$59,A12)</f>
        <v>3</v>
      </c>
      <c r="C12" s="3" t="n">
        <f aca="false">COUNTIFS('Mapa palabras clave'!$A$5:$A$59,A12,'Mapa palabras clave'!$D$5:$D$59,"Alta")</f>
        <v>1</v>
      </c>
      <c r="D12" s="4" t="n">
        <f aca="false">SUMIF('Mapa palabras clave'!$A$5:$A$59,A12,'Mapa palabras clave'!$G$5:$G$59)</f>
        <v>0</v>
      </c>
    </row>
    <row r="13" customFormat="false" ht="15" hidden="false" customHeight="false" outlineLevel="0" collapsed="false">
      <c r="A13" s="3" t="s">
        <v>14</v>
      </c>
      <c r="B13" s="3" t="n">
        <f aca="false">COUNTIF('Mapa palabras clave'!$A$5:$A$59,A13)</f>
        <v>5</v>
      </c>
      <c r="C13" s="3" t="n">
        <f aca="false">COUNTIFS('Mapa palabras clave'!$A$5:$A$59,A13,'Mapa palabras clave'!$D$5:$D$59,"Alta")</f>
        <v>2</v>
      </c>
      <c r="D13" s="4" t="n">
        <f aca="false">SUMIF('Mapa palabras clave'!$A$5:$A$59,A13,'Mapa palabras clave'!$G$5:$G$59)</f>
        <v>0</v>
      </c>
    </row>
    <row r="14" customFormat="false" ht="15" hidden="false" customHeight="false" outlineLevel="0" collapsed="false">
      <c r="A14" s="3" t="s">
        <v>15</v>
      </c>
      <c r="B14" s="3" t="n">
        <f aca="false">COUNTIF('Mapa palabras clave'!$A$5:$A$59,A14)</f>
        <v>2</v>
      </c>
      <c r="C14" s="3" t="n">
        <f aca="false">COUNTIFS('Mapa palabras clave'!$A$5:$A$59,A14,'Mapa palabras clave'!$D$5:$D$59,"Alta")</f>
        <v>1</v>
      </c>
      <c r="D14" s="4" t="n">
        <f aca="false">SUMIF('Mapa palabras clave'!$A$5:$A$59,A14,'Mapa palabras clave'!$G$5:$G$59)</f>
        <v>0</v>
      </c>
    </row>
    <row r="15" customFormat="false" ht="15" hidden="false" customHeight="false" outlineLevel="0" collapsed="false">
      <c r="A15" s="5" t="s">
        <v>16</v>
      </c>
      <c r="B15" s="6" t="n">
        <f aca="false">SUM(B4:B14)</f>
        <v>55</v>
      </c>
      <c r="C15" s="6" t="n">
        <f aca="false">SUM(C4:C14)</f>
        <v>25</v>
      </c>
      <c r="D15" s="6" t="n">
        <f aca="false">SUM(D4:D14)</f>
        <v>0</v>
      </c>
    </row>
    <row r="17" customFormat="false" ht="15" hidden="false" customHeight="false" outlineLevel="0" collapsed="false">
      <c r="A17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18</v>
      </c>
    </row>
    <row r="2" customFormat="false" ht="30" hidden="false" customHeight="tru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</row>
    <row r="4" customFormat="false" ht="31.5" hidden="false" customHeight="true" outlineLevel="0" collapsed="false">
      <c r="A4" s="2" t="s">
        <v>1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customFormat="false" ht="23.85" hidden="false" customHeight="false" outlineLevel="0" collapsed="false">
      <c r="A5" s="9" t="s">
        <v>5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10"/>
      <c r="H5" s="9" t="s">
        <v>33</v>
      </c>
      <c r="I5" s="9" t="s">
        <v>34</v>
      </c>
    </row>
    <row r="6" customFormat="false" ht="15" hidden="false" customHeight="false" outlineLevel="0" collapsed="false">
      <c r="A6" s="9" t="s">
        <v>5</v>
      </c>
      <c r="B6" s="9" t="s">
        <v>35</v>
      </c>
      <c r="C6" s="9" t="s">
        <v>29</v>
      </c>
      <c r="D6" s="9" t="s">
        <v>30</v>
      </c>
      <c r="E6" s="9" t="s">
        <v>31</v>
      </c>
      <c r="F6" s="9" t="s">
        <v>36</v>
      </c>
      <c r="G6" s="10"/>
      <c r="H6" s="9" t="s">
        <v>37</v>
      </c>
      <c r="I6" s="9"/>
    </row>
    <row r="7" customFormat="false" ht="15" hidden="false" customHeight="false" outlineLevel="0" collapsed="false">
      <c r="A7" s="9" t="s">
        <v>5</v>
      </c>
      <c r="B7" s="9" t="s">
        <v>38</v>
      </c>
      <c r="C7" s="9" t="s">
        <v>29</v>
      </c>
      <c r="D7" s="9" t="s">
        <v>39</v>
      </c>
      <c r="E7" s="9" t="s">
        <v>31</v>
      </c>
      <c r="F7" s="9" t="s">
        <v>40</v>
      </c>
      <c r="G7" s="10"/>
      <c r="H7" s="9" t="s">
        <v>41</v>
      </c>
      <c r="I7" s="9"/>
    </row>
    <row r="8" customFormat="false" ht="15" hidden="false" customHeight="false" outlineLevel="0" collapsed="false">
      <c r="A8" s="9" t="s">
        <v>5</v>
      </c>
      <c r="B8" s="9" t="s">
        <v>42</v>
      </c>
      <c r="C8" s="9" t="s">
        <v>43</v>
      </c>
      <c r="D8" s="9" t="s">
        <v>39</v>
      </c>
      <c r="E8" s="9" t="s">
        <v>44</v>
      </c>
      <c r="F8" s="9" t="s">
        <v>45</v>
      </c>
      <c r="G8" s="10"/>
      <c r="H8" s="9" t="s">
        <v>46</v>
      </c>
      <c r="I8" s="9" t="s">
        <v>47</v>
      </c>
    </row>
    <row r="9" customFormat="false" ht="15" hidden="false" customHeight="false" outlineLevel="0" collapsed="false">
      <c r="A9" s="9" t="s">
        <v>5</v>
      </c>
      <c r="B9" s="9" t="s">
        <v>48</v>
      </c>
      <c r="C9" s="9" t="s">
        <v>29</v>
      </c>
      <c r="D9" s="9" t="s">
        <v>39</v>
      </c>
      <c r="E9" s="9" t="s">
        <v>31</v>
      </c>
      <c r="F9" s="9"/>
      <c r="G9" s="10"/>
      <c r="H9" s="9" t="s">
        <v>41</v>
      </c>
      <c r="I9" s="9"/>
    </row>
    <row r="10" customFormat="false" ht="15" hidden="false" customHeight="false" outlineLevel="0" collapsed="false">
      <c r="A10" s="9" t="s">
        <v>6</v>
      </c>
      <c r="B10" s="9" t="s">
        <v>49</v>
      </c>
      <c r="C10" s="9" t="s">
        <v>29</v>
      </c>
      <c r="D10" s="9" t="s">
        <v>30</v>
      </c>
      <c r="E10" s="9" t="s">
        <v>50</v>
      </c>
      <c r="F10" s="9" t="s">
        <v>51</v>
      </c>
      <c r="G10" s="10"/>
      <c r="H10" s="9" t="s">
        <v>52</v>
      </c>
      <c r="I10" s="9" t="s">
        <v>53</v>
      </c>
    </row>
    <row r="11" customFormat="false" ht="23.85" hidden="false" customHeight="false" outlineLevel="0" collapsed="false">
      <c r="A11" s="9" t="s">
        <v>6</v>
      </c>
      <c r="B11" s="9" t="s">
        <v>54</v>
      </c>
      <c r="C11" s="9" t="s">
        <v>29</v>
      </c>
      <c r="D11" s="9" t="s">
        <v>30</v>
      </c>
      <c r="E11" s="9" t="s">
        <v>50</v>
      </c>
      <c r="F11" s="9" t="s">
        <v>36</v>
      </c>
      <c r="G11" s="10"/>
      <c r="H11" s="9" t="s">
        <v>55</v>
      </c>
      <c r="I11" s="9" t="s">
        <v>56</v>
      </c>
    </row>
    <row r="12" customFormat="false" ht="15" hidden="false" customHeight="false" outlineLevel="0" collapsed="false">
      <c r="A12" s="9" t="s">
        <v>6</v>
      </c>
      <c r="B12" s="9" t="s">
        <v>57</v>
      </c>
      <c r="C12" s="9" t="s">
        <v>29</v>
      </c>
      <c r="D12" s="9" t="s">
        <v>30</v>
      </c>
      <c r="E12" s="9" t="s">
        <v>50</v>
      </c>
      <c r="F12" s="9" t="s">
        <v>58</v>
      </c>
      <c r="G12" s="10"/>
      <c r="H12" s="9" t="s">
        <v>59</v>
      </c>
      <c r="I12" s="9"/>
    </row>
    <row r="13" customFormat="false" ht="23.85" hidden="false" customHeight="false" outlineLevel="0" collapsed="false">
      <c r="A13" s="9" t="s">
        <v>6</v>
      </c>
      <c r="B13" s="9" t="s">
        <v>60</v>
      </c>
      <c r="C13" s="9" t="s">
        <v>29</v>
      </c>
      <c r="D13" s="9" t="s">
        <v>30</v>
      </c>
      <c r="E13" s="9" t="s">
        <v>50</v>
      </c>
      <c r="F13" s="9" t="s">
        <v>61</v>
      </c>
      <c r="G13" s="10"/>
      <c r="H13" s="9" t="s">
        <v>62</v>
      </c>
      <c r="I13" s="9"/>
    </row>
    <row r="14" customFormat="false" ht="23.85" hidden="false" customHeight="false" outlineLevel="0" collapsed="false">
      <c r="A14" s="9" t="s">
        <v>6</v>
      </c>
      <c r="B14" s="9" t="s">
        <v>63</v>
      </c>
      <c r="C14" s="9" t="s">
        <v>29</v>
      </c>
      <c r="D14" s="9" t="s">
        <v>30</v>
      </c>
      <c r="E14" s="9" t="s">
        <v>64</v>
      </c>
      <c r="F14" s="9" t="s">
        <v>65</v>
      </c>
      <c r="G14" s="10"/>
      <c r="H14" s="9" t="s">
        <v>66</v>
      </c>
      <c r="I14" s="9" t="s">
        <v>67</v>
      </c>
    </row>
    <row r="15" customFormat="false" ht="15" hidden="false" customHeight="false" outlineLevel="0" collapsed="false">
      <c r="A15" s="9" t="s">
        <v>6</v>
      </c>
      <c r="B15" s="9" t="s">
        <v>68</v>
      </c>
      <c r="C15" s="9" t="s">
        <v>29</v>
      </c>
      <c r="D15" s="9" t="s">
        <v>39</v>
      </c>
      <c r="E15" s="9" t="s">
        <v>50</v>
      </c>
      <c r="F15" s="9" t="s">
        <v>69</v>
      </c>
      <c r="G15" s="10"/>
      <c r="H15" s="9" t="s">
        <v>62</v>
      </c>
      <c r="I15" s="9"/>
    </row>
    <row r="16" customFormat="false" ht="23.85" hidden="false" customHeight="false" outlineLevel="0" collapsed="false">
      <c r="A16" s="9" t="s">
        <v>6</v>
      </c>
      <c r="B16" s="9" t="s">
        <v>70</v>
      </c>
      <c r="C16" s="9" t="s">
        <v>71</v>
      </c>
      <c r="D16" s="9" t="s">
        <v>39</v>
      </c>
      <c r="E16" s="9" t="s">
        <v>50</v>
      </c>
      <c r="F16" s="9" t="s">
        <v>72</v>
      </c>
      <c r="G16" s="10"/>
      <c r="H16" s="9" t="s">
        <v>73</v>
      </c>
      <c r="I16" s="9" t="s">
        <v>74</v>
      </c>
    </row>
    <row r="17" customFormat="false" ht="23.85" hidden="false" customHeight="false" outlineLevel="0" collapsed="false">
      <c r="A17" s="9" t="s">
        <v>6</v>
      </c>
      <c r="B17" s="9" t="s">
        <v>75</v>
      </c>
      <c r="C17" s="9" t="s">
        <v>29</v>
      </c>
      <c r="D17" s="9" t="s">
        <v>76</v>
      </c>
      <c r="E17" s="9" t="s">
        <v>50</v>
      </c>
      <c r="F17" s="9" t="s">
        <v>77</v>
      </c>
      <c r="G17" s="10"/>
      <c r="H17" s="9" t="s">
        <v>78</v>
      </c>
      <c r="I17" s="9" t="s">
        <v>79</v>
      </c>
    </row>
    <row r="18" customFormat="false" ht="23.85" hidden="false" customHeight="false" outlineLevel="0" collapsed="false">
      <c r="A18" s="9" t="s">
        <v>7</v>
      </c>
      <c r="B18" s="9" t="s">
        <v>80</v>
      </c>
      <c r="C18" s="9" t="s">
        <v>29</v>
      </c>
      <c r="D18" s="9" t="s">
        <v>30</v>
      </c>
      <c r="E18" s="9" t="s">
        <v>81</v>
      </c>
      <c r="F18" s="9" t="s">
        <v>82</v>
      </c>
      <c r="G18" s="10"/>
      <c r="H18" s="9" t="s">
        <v>52</v>
      </c>
      <c r="I18" s="9"/>
    </row>
    <row r="19" customFormat="false" ht="15" hidden="false" customHeight="false" outlineLevel="0" collapsed="false">
      <c r="A19" s="9" t="s">
        <v>7</v>
      </c>
      <c r="B19" s="9" t="s">
        <v>83</v>
      </c>
      <c r="C19" s="9" t="s">
        <v>29</v>
      </c>
      <c r="D19" s="9" t="s">
        <v>30</v>
      </c>
      <c r="E19" s="9" t="s">
        <v>81</v>
      </c>
      <c r="F19" s="9" t="s">
        <v>84</v>
      </c>
      <c r="G19" s="10"/>
      <c r="H19" s="9" t="s">
        <v>62</v>
      </c>
      <c r="I19" s="9"/>
    </row>
    <row r="20" customFormat="false" ht="23.85" hidden="false" customHeight="false" outlineLevel="0" collapsed="false">
      <c r="A20" s="9" t="s">
        <v>7</v>
      </c>
      <c r="B20" s="9" t="s">
        <v>85</v>
      </c>
      <c r="C20" s="9" t="s">
        <v>29</v>
      </c>
      <c r="D20" s="9" t="s">
        <v>39</v>
      </c>
      <c r="E20" s="9" t="s">
        <v>81</v>
      </c>
      <c r="F20" s="9" t="s">
        <v>86</v>
      </c>
      <c r="G20" s="10"/>
      <c r="H20" s="9" t="s">
        <v>62</v>
      </c>
      <c r="I20" s="9" t="s">
        <v>87</v>
      </c>
    </row>
    <row r="21" customFormat="false" ht="15" hidden="false" customHeight="false" outlineLevel="0" collapsed="false">
      <c r="A21" s="9" t="s">
        <v>7</v>
      </c>
      <c r="B21" s="9" t="s">
        <v>88</v>
      </c>
      <c r="C21" s="9" t="s">
        <v>29</v>
      </c>
      <c r="D21" s="9" t="s">
        <v>39</v>
      </c>
      <c r="E21" s="9" t="s">
        <v>81</v>
      </c>
      <c r="F21" s="9"/>
      <c r="G21" s="10"/>
      <c r="H21" s="9" t="s">
        <v>62</v>
      </c>
      <c r="I21" s="9" t="s">
        <v>89</v>
      </c>
    </row>
    <row r="22" customFormat="false" ht="15" hidden="false" customHeight="false" outlineLevel="0" collapsed="false">
      <c r="A22" s="9" t="s">
        <v>7</v>
      </c>
      <c r="B22" s="9" t="s">
        <v>90</v>
      </c>
      <c r="C22" s="9" t="s">
        <v>43</v>
      </c>
      <c r="D22" s="9" t="s">
        <v>39</v>
      </c>
      <c r="E22" s="9" t="s">
        <v>81</v>
      </c>
      <c r="F22" s="9" t="s">
        <v>91</v>
      </c>
      <c r="G22" s="10"/>
      <c r="H22" s="9" t="s">
        <v>92</v>
      </c>
      <c r="I22" s="9"/>
    </row>
    <row r="23" customFormat="false" ht="23.85" hidden="false" customHeight="false" outlineLevel="0" collapsed="false">
      <c r="A23" s="9" t="s">
        <v>8</v>
      </c>
      <c r="B23" s="9" t="s">
        <v>93</v>
      </c>
      <c r="C23" s="9" t="s">
        <v>29</v>
      </c>
      <c r="D23" s="9" t="s">
        <v>39</v>
      </c>
      <c r="E23" s="9" t="s">
        <v>94</v>
      </c>
      <c r="F23" s="9" t="s">
        <v>95</v>
      </c>
      <c r="G23" s="10"/>
      <c r="H23" s="9" t="s">
        <v>96</v>
      </c>
      <c r="I23" s="9" t="s">
        <v>97</v>
      </c>
    </row>
    <row r="24" customFormat="false" ht="23.85" hidden="false" customHeight="false" outlineLevel="0" collapsed="false">
      <c r="A24" s="9" t="s">
        <v>8</v>
      </c>
      <c r="B24" s="9" t="s">
        <v>98</v>
      </c>
      <c r="C24" s="9" t="s">
        <v>29</v>
      </c>
      <c r="D24" s="9" t="s">
        <v>39</v>
      </c>
      <c r="E24" s="9" t="s">
        <v>99</v>
      </c>
      <c r="F24" s="9"/>
      <c r="G24" s="10"/>
      <c r="H24" s="9" t="s">
        <v>78</v>
      </c>
      <c r="I24" s="9" t="s">
        <v>100</v>
      </c>
    </row>
    <row r="25" customFormat="false" ht="15" hidden="false" customHeight="false" outlineLevel="0" collapsed="false">
      <c r="A25" s="9" t="s">
        <v>8</v>
      </c>
      <c r="B25" s="9" t="s">
        <v>101</v>
      </c>
      <c r="C25" s="9" t="s">
        <v>29</v>
      </c>
      <c r="D25" s="9" t="s">
        <v>39</v>
      </c>
      <c r="E25" s="9" t="s">
        <v>99</v>
      </c>
      <c r="F25" s="9" t="s">
        <v>102</v>
      </c>
      <c r="G25" s="10"/>
      <c r="H25" s="9" t="s">
        <v>78</v>
      </c>
      <c r="I25" s="9"/>
    </row>
    <row r="26" customFormat="false" ht="15" hidden="false" customHeight="false" outlineLevel="0" collapsed="false">
      <c r="A26" s="9" t="s">
        <v>8</v>
      </c>
      <c r="B26" s="9" t="s">
        <v>103</v>
      </c>
      <c r="C26" s="9" t="s">
        <v>29</v>
      </c>
      <c r="D26" s="9" t="s">
        <v>39</v>
      </c>
      <c r="E26" s="9" t="s">
        <v>104</v>
      </c>
      <c r="F26" s="9" t="s">
        <v>58</v>
      </c>
      <c r="G26" s="10"/>
      <c r="H26" s="9" t="s">
        <v>62</v>
      </c>
      <c r="I26" s="9"/>
    </row>
    <row r="27" customFormat="false" ht="23.85" hidden="false" customHeight="false" outlineLevel="0" collapsed="false">
      <c r="A27" s="9" t="s">
        <v>9</v>
      </c>
      <c r="B27" s="9" t="s">
        <v>105</v>
      </c>
      <c r="C27" s="9" t="s">
        <v>29</v>
      </c>
      <c r="D27" s="9" t="s">
        <v>30</v>
      </c>
      <c r="E27" s="9" t="s">
        <v>106</v>
      </c>
      <c r="F27" s="9" t="s">
        <v>107</v>
      </c>
      <c r="G27" s="10"/>
      <c r="H27" s="9" t="s">
        <v>52</v>
      </c>
      <c r="I27" s="9" t="s">
        <v>108</v>
      </c>
    </row>
    <row r="28" customFormat="false" ht="23.85" hidden="false" customHeight="false" outlineLevel="0" collapsed="false">
      <c r="A28" s="9" t="s">
        <v>9</v>
      </c>
      <c r="B28" s="9" t="s">
        <v>109</v>
      </c>
      <c r="C28" s="9" t="s">
        <v>29</v>
      </c>
      <c r="D28" s="9" t="s">
        <v>30</v>
      </c>
      <c r="E28" s="9" t="s">
        <v>106</v>
      </c>
      <c r="F28" s="9" t="s">
        <v>110</v>
      </c>
      <c r="G28" s="10"/>
      <c r="H28" s="9" t="s">
        <v>62</v>
      </c>
      <c r="I28" s="9"/>
    </row>
    <row r="29" customFormat="false" ht="23.85" hidden="false" customHeight="false" outlineLevel="0" collapsed="false">
      <c r="A29" s="9" t="s">
        <v>9</v>
      </c>
      <c r="B29" s="9" t="s">
        <v>111</v>
      </c>
      <c r="C29" s="9" t="s">
        <v>29</v>
      </c>
      <c r="D29" s="9" t="s">
        <v>30</v>
      </c>
      <c r="E29" s="9" t="s">
        <v>106</v>
      </c>
      <c r="F29" s="9" t="s">
        <v>112</v>
      </c>
      <c r="G29" s="10"/>
      <c r="H29" s="9" t="s">
        <v>62</v>
      </c>
      <c r="I29" s="9" t="s">
        <v>113</v>
      </c>
    </row>
    <row r="30" customFormat="false" ht="23.85" hidden="false" customHeight="false" outlineLevel="0" collapsed="false">
      <c r="A30" s="9" t="s">
        <v>9</v>
      </c>
      <c r="B30" s="9" t="s">
        <v>114</v>
      </c>
      <c r="C30" s="9" t="s">
        <v>29</v>
      </c>
      <c r="D30" s="9" t="s">
        <v>30</v>
      </c>
      <c r="E30" s="9" t="s">
        <v>106</v>
      </c>
      <c r="F30" s="9" t="s">
        <v>115</v>
      </c>
      <c r="G30" s="10"/>
      <c r="H30" s="9" t="s">
        <v>116</v>
      </c>
      <c r="I30" s="9" t="s">
        <v>117</v>
      </c>
    </row>
    <row r="31" customFormat="false" ht="23.85" hidden="false" customHeight="false" outlineLevel="0" collapsed="false">
      <c r="A31" s="9" t="s">
        <v>9</v>
      </c>
      <c r="B31" s="9" t="s">
        <v>118</v>
      </c>
      <c r="C31" s="9" t="s">
        <v>29</v>
      </c>
      <c r="D31" s="9" t="s">
        <v>39</v>
      </c>
      <c r="E31" s="9" t="s">
        <v>106</v>
      </c>
      <c r="F31" s="9" t="s">
        <v>119</v>
      </c>
      <c r="G31" s="10"/>
      <c r="H31" s="9" t="s">
        <v>78</v>
      </c>
      <c r="I31" s="9"/>
    </row>
    <row r="32" customFormat="false" ht="23.85" hidden="false" customHeight="false" outlineLevel="0" collapsed="false">
      <c r="A32" s="9" t="s">
        <v>9</v>
      </c>
      <c r="B32" s="9" t="s">
        <v>120</v>
      </c>
      <c r="C32" s="9" t="s">
        <v>29</v>
      </c>
      <c r="D32" s="9" t="s">
        <v>76</v>
      </c>
      <c r="E32" s="9" t="s">
        <v>106</v>
      </c>
      <c r="F32" s="9" t="s">
        <v>121</v>
      </c>
      <c r="G32" s="10"/>
      <c r="H32" s="9" t="s">
        <v>122</v>
      </c>
      <c r="I32" s="9" t="s">
        <v>123</v>
      </c>
    </row>
    <row r="33" customFormat="false" ht="23.85" hidden="false" customHeight="false" outlineLevel="0" collapsed="false">
      <c r="A33" s="9" t="s">
        <v>10</v>
      </c>
      <c r="B33" s="9" t="s">
        <v>124</v>
      </c>
      <c r="C33" s="9" t="s">
        <v>29</v>
      </c>
      <c r="D33" s="9" t="s">
        <v>30</v>
      </c>
      <c r="E33" s="9" t="s">
        <v>125</v>
      </c>
      <c r="F33" s="9" t="s">
        <v>126</v>
      </c>
      <c r="G33" s="10"/>
      <c r="H33" s="9" t="s">
        <v>62</v>
      </c>
      <c r="I33" s="9" t="s">
        <v>127</v>
      </c>
    </row>
    <row r="34" customFormat="false" ht="15" hidden="false" customHeight="false" outlineLevel="0" collapsed="false">
      <c r="A34" s="9" t="s">
        <v>10</v>
      </c>
      <c r="B34" s="9" t="s">
        <v>128</v>
      </c>
      <c r="C34" s="9" t="s">
        <v>29</v>
      </c>
      <c r="D34" s="9" t="s">
        <v>30</v>
      </c>
      <c r="E34" s="9" t="s">
        <v>125</v>
      </c>
      <c r="F34" s="9" t="s">
        <v>129</v>
      </c>
      <c r="G34" s="10"/>
      <c r="H34" s="9" t="s">
        <v>52</v>
      </c>
      <c r="I34" s="9"/>
    </row>
    <row r="35" customFormat="false" ht="15" hidden="false" customHeight="false" outlineLevel="0" collapsed="false">
      <c r="A35" s="9" t="s">
        <v>10</v>
      </c>
      <c r="B35" s="9" t="s">
        <v>130</v>
      </c>
      <c r="C35" s="9" t="s">
        <v>29</v>
      </c>
      <c r="D35" s="9" t="s">
        <v>30</v>
      </c>
      <c r="E35" s="9" t="s">
        <v>125</v>
      </c>
      <c r="F35" s="9"/>
      <c r="G35" s="10"/>
      <c r="H35" s="9" t="s">
        <v>131</v>
      </c>
      <c r="I35" s="9" t="s">
        <v>132</v>
      </c>
    </row>
    <row r="36" customFormat="false" ht="15" hidden="false" customHeight="false" outlineLevel="0" collapsed="false">
      <c r="A36" s="9" t="s">
        <v>10</v>
      </c>
      <c r="B36" s="9" t="s">
        <v>133</v>
      </c>
      <c r="C36" s="9" t="s">
        <v>29</v>
      </c>
      <c r="D36" s="9" t="s">
        <v>39</v>
      </c>
      <c r="E36" s="9" t="s">
        <v>125</v>
      </c>
      <c r="F36" s="9"/>
      <c r="G36" s="10"/>
      <c r="H36" s="9" t="s">
        <v>62</v>
      </c>
      <c r="I36" s="9"/>
    </row>
    <row r="37" customFormat="false" ht="23.85" hidden="false" customHeight="false" outlineLevel="0" collapsed="false">
      <c r="A37" s="9" t="s">
        <v>10</v>
      </c>
      <c r="B37" s="9" t="s">
        <v>134</v>
      </c>
      <c r="C37" s="9" t="s">
        <v>43</v>
      </c>
      <c r="D37" s="9" t="s">
        <v>39</v>
      </c>
      <c r="E37" s="9" t="s">
        <v>135</v>
      </c>
      <c r="F37" s="9" t="s">
        <v>136</v>
      </c>
      <c r="G37" s="10"/>
      <c r="H37" s="9" t="s">
        <v>137</v>
      </c>
      <c r="I37" s="9" t="s">
        <v>138</v>
      </c>
    </row>
    <row r="38" customFormat="false" ht="23.85" hidden="false" customHeight="false" outlineLevel="0" collapsed="false">
      <c r="A38" s="9" t="s">
        <v>10</v>
      </c>
      <c r="B38" s="9" t="s">
        <v>139</v>
      </c>
      <c r="C38" s="9" t="s">
        <v>29</v>
      </c>
      <c r="D38" s="9" t="s">
        <v>39</v>
      </c>
      <c r="E38" s="9" t="s">
        <v>140</v>
      </c>
      <c r="F38" s="9" t="s">
        <v>141</v>
      </c>
      <c r="G38" s="10"/>
      <c r="H38" s="9" t="s">
        <v>131</v>
      </c>
      <c r="I38" s="9"/>
    </row>
    <row r="39" customFormat="false" ht="15" hidden="false" customHeight="false" outlineLevel="0" collapsed="false">
      <c r="A39" s="9" t="s">
        <v>10</v>
      </c>
      <c r="B39" s="9" t="s">
        <v>142</v>
      </c>
      <c r="C39" s="9" t="s">
        <v>43</v>
      </c>
      <c r="D39" s="9" t="s">
        <v>76</v>
      </c>
      <c r="E39" s="9" t="s">
        <v>140</v>
      </c>
      <c r="F39" s="9"/>
      <c r="G39" s="10"/>
      <c r="H39" s="9" t="s">
        <v>78</v>
      </c>
      <c r="I39" s="9"/>
    </row>
    <row r="40" customFormat="false" ht="15" hidden="false" customHeight="false" outlineLevel="0" collapsed="false">
      <c r="A40" s="9" t="s">
        <v>11</v>
      </c>
      <c r="B40" s="9" t="s">
        <v>143</v>
      </c>
      <c r="C40" s="9" t="s">
        <v>29</v>
      </c>
      <c r="D40" s="9" t="s">
        <v>30</v>
      </c>
      <c r="E40" s="9" t="s">
        <v>144</v>
      </c>
      <c r="F40" s="9" t="s">
        <v>145</v>
      </c>
      <c r="G40" s="10"/>
      <c r="H40" s="9" t="s">
        <v>52</v>
      </c>
      <c r="I40" s="9"/>
    </row>
    <row r="41" customFormat="false" ht="23.85" hidden="false" customHeight="false" outlineLevel="0" collapsed="false">
      <c r="A41" s="9" t="s">
        <v>11</v>
      </c>
      <c r="B41" s="9" t="s">
        <v>146</v>
      </c>
      <c r="C41" s="9" t="s">
        <v>29</v>
      </c>
      <c r="D41" s="9" t="s">
        <v>30</v>
      </c>
      <c r="E41" s="9" t="s">
        <v>144</v>
      </c>
      <c r="F41" s="9" t="s">
        <v>147</v>
      </c>
      <c r="G41" s="10"/>
      <c r="H41" s="9" t="s">
        <v>131</v>
      </c>
      <c r="I41" s="9" t="s">
        <v>148</v>
      </c>
    </row>
    <row r="42" customFormat="false" ht="23.85" hidden="false" customHeight="false" outlineLevel="0" collapsed="false">
      <c r="A42" s="9" t="s">
        <v>11</v>
      </c>
      <c r="B42" s="9" t="s">
        <v>149</v>
      </c>
      <c r="C42" s="9" t="s">
        <v>29</v>
      </c>
      <c r="D42" s="9" t="s">
        <v>30</v>
      </c>
      <c r="E42" s="9" t="s">
        <v>150</v>
      </c>
      <c r="F42" s="9" t="s">
        <v>151</v>
      </c>
      <c r="G42" s="10"/>
      <c r="H42" s="9" t="s">
        <v>52</v>
      </c>
      <c r="I42" s="9"/>
    </row>
    <row r="43" customFormat="false" ht="15" hidden="false" customHeight="false" outlineLevel="0" collapsed="false">
      <c r="A43" s="9" t="s">
        <v>11</v>
      </c>
      <c r="B43" s="9" t="s">
        <v>152</v>
      </c>
      <c r="C43" s="9" t="s">
        <v>29</v>
      </c>
      <c r="D43" s="9" t="s">
        <v>39</v>
      </c>
      <c r="E43" s="9" t="s">
        <v>150</v>
      </c>
      <c r="F43" s="9"/>
      <c r="G43" s="10"/>
      <c r="H43" s="9" t="s">
        <v>62</v>
      </c>
      <c r="I43" s="9" t="s">
        <v>153</v>
      </c>
    </row>
    <row r="44" customFormat="false" ht="15" hidden="false" customHeight="false" outlineLevel="0" collapsed="false">
      <c r="A44" s="9" t="s">
        <v>11</v>
      </c>
      <c r="B44" s="9" t="s">
        <v>154</v>
      </c>
      <c r="C44" s="9" t="s">
        <v>43</v>
      </c>
      <c r="D44" s="9" t="s">
        <v>39</v>
      </c>
      <c r="E44" s="9" t="s">
        <v>155</v>
      </c>
      <c r="F44" s="9"/>
      <c r="G44" s="10"/>
      <c r="H44" s="9" t="s">
        <v>156</v>
      </c>
      <c r="I44" s="9" t="s">
        <v>157</v>
      </c>
    </row>
    <row r="45" customFormat="false" ht="15" hidden="false" customHeight="false" outlineLevel="0" collapsed="false">
      <c r="A45" s="9" t="s">
        <v>11</v>
      </c>
      <c r="B45" s="9" t="s">
        <v>158</v>
      </c>
      <c r="C45" s="9" t="s">
        <v>29</v>
      </c>
      <c r="D45" s="9" t="s">
        <v>39</v>
      </c>
      <c r="E45" s="9" t="s">
        <v>159</v>
      </c>
      <c r="F45" s="9" t="s">
        <v>160</v>
      </c>
      <c r="G45" s="10"/>
      <c r="H45" s="9" t="s">
        <v>131</v>
      </c>
      <c r="I45" s="9" t="s">
        <v>161</v>
      </c>
    </row>
    <row r="46" customFormat="false" ht="23.85" hidden="false" customHeight="false" outlineLevel="0" collapsed="false">
      <c r="A46" s="9" t="s">
        <v>12</v>
      </c>
      <c r="B46" s="9" t="s">
        <v>162</v>
      </c>
      <c r="C46" s="9" t="s">
        <v>29</v>
      </c>
      <c r="D46" s="9" t="s">
        <v>30</v>
      </c>
      <c r="E46" s="9" t="s">
        <v>64</v>
      </c>
      <c r="F46" s="9" t="s">
        <v>163</v>
      </c>
      <c r="G46" s="10"/>
      <c r="H46" s="9" t="s">
        <v>52</v>
      </c>
      <c r="I46" s="9" t="s">
        <v>164</v>
      </c>
    </row>
    <row r="47" customFormat="false" ht="15" hidden="false" customHeight="false" outlineLevel="0" collapsed="false">
      <c r="A47" s="9" t="s">
        <v>12</v>
      </c>
      <c r="B47" s="9" t="s">
        <v>165</v>
      </c>
      <c r="C47" s="9" t="s">
        <v>29</v>
      </c>
      <c r="D47" s="9" t="s">
        <v>30</v>
      </c>
      <c r="E47" s="9" t="s">
        <v>64</v>
      </c>
      <c r="F47" s="9" t="s">
        <v>166</v>
      </c>
      <c r="G47" s="10"/>
      <c r="H47" s="9" t="s">
        <v>62</v>
      </c>
      <c r="I47" s="9"/>
    </row>
    <row r="48" customFormat="false" ht="15" hidden="false" customHeight="false" outlineLevel="0" collapsed="false">
      <c r="A48" s="9" t="s">
        <v>12</v>
      </c>
      <c r="B48" s="9" t="s">
        <v>167</v>
      </c>
      <c r="C48" s="9" t="s">
        <v>29</v>
      </c>
      <c r="D48" s="9" t="s">
        <v>39</v>
      </c>
      <c r="E48" s="9" t="s">
        <v>64</v>
      </c>
      <c r="F48" s="9" t="s">
        <v>168</v>
      </c>
      <c r="G48" s="10"/>
      <c r="H48" s="9" t="s">
        <v>62</v>
      </c>
      <c r="I48" s="9"/>
    </row>
    <row r="49" customFormat="false" ht="15" hidden="false" customHeight="false" outlineLevel="0" collapsed="false">
      <c r="A49" s="9" t="s">
        <v>12</v>
      </c>
      <c r="B49" s="9" t="s">
        <v>169</v>
      </c>
      <c r="C49" s="9" t="s">
        <v>43</v>
      </c>
      <c r="D49" s="9" t="s">
        <v>39</v>
      </c>
      <c r="E49" s="9" t="s">
        <v>170</v>
      </c>
      <c r="F49" s="9"/>
      <c r="G49" s="10"/>
      <c r="H49" s="9" t="s">
        <v>156</v>
      </c>
      <c r="I49" s="9"/>
    </row>
    <row r="50" customFormat="false" ht="15" hidden="false" customHeight="false" outlineLevel="0" collapsed="false">
      <c r="A50" s="9" t="s">
        <v>13</v>
      </c>
      <c r="B50" s="9" t="s">
        <v>171</v>
      </c>
      <c r="C50" s="9" t="s">
        <v>29</v>
      </c>
      <c r="D50" s="9" t="s">
        <v>30</v>
      </c>
      <c r="E50" s="9" t="s">
        <v>104</v>
      </c>
      <c r="F50" s="9" t="s">
        <v>172</v>
      </c>
      <c r="G50" s="10"/>
      <c r="H50" s="9" t="s">
        <v>52</v>
      </c>
      <c r="I50" s="9" t="s">
        <v>173</v>
      </c>
    </row>
    <row r="51" customFormat="false" ht="15" hidden="false" customHeight="false" outlineLevel="0" collapsed="false">
      <c r="A51" s="9" t="s">
        <v>13</v>
      </c>
      <c r="B51" s="9" t="s">
        <v>174</v>
      </c>
      <c r="C51" s="9" t="s">
        <v>29</v>
      </c>
      <c r="D51" s="9" t="s">
        <v>39</v>
      </c>
      <c r="E51" s="9" t="s">
        <v>104</v>
      </c>
      <c r="F51" s="9" t="s">
        <v>175</v>
      </c>
      <c r="G51" s="10"/>
      <c r="H51" s="9" t="s">
        <v>62</v>
      </c>
      <c r="I51" s="9" t="s">
        <v>176</v>
      </c>
    </row>
    <row r="52" customFormat="false" ht="15" hidden="false" customHeight="false" outlineLevel="0" collapsed="false">
      <c r="A52" s="9" t="s">
        <v>13</v>
      </c>
      <c r="B52" s="9" t="s">
        <v>177</v>
      </c>
      <c r="C52" s="9" t="s">
        <v>29</v>
      </c>
      <c r="D52" s="9" t="s">
        <v>76</v>
      </c>
      <c r="E52" s="9" t="s">
        <v>104</v>
      </c>
      <c r="F52" s="9" t="s">
        <v>178</v>
      </c>
      <c r="G52" s="10"/>
      <c r="H52" s="9" t="s">
        <v>78</v>
      </c>
      <c r="I52" s="9"/>
    </row>
    <row r="53" customFormat="false" ht="23.85" hidden="false" customHeight="false" outlineLevel="0" collapsed="false">
      <c r="A53" s="9" t="s">
        <v>14</v>
      </c>
      <c r="B53" s="9" t="s">
        <v>179</v>
      </c>
      <c r="C53" s="9" t="s">
        <v>43</v>
      </c>
      <c r="D53" s="9" t="s">
        <v>30</v>
      </c>
      <c r="E53" s="9" t="s">
        <v>180</v>
      </c>
      <c r="F53" s="9" t="s">
        <v>181</v>
      </c>
      <c r="G53" s="10"/>
      <c r="H53" s="9" t="s">
        <v>182</v>
      </c>
      <c r="I53" s="9" t="s">
        <v>183</v>
      </c>
    </row>
    <row r="54" customFormat="false" ht="15" hidden="false" customHeight="false" outlineLevel="0" collapsed="false">
      <c r="A54" s="9" t="s">
        <v>14</v>
      </c>
      <c r="B54" s="9" t="s">
        <v>184</v>
      </c>
      <c r="C54" s="9" t="s">
        <v>43</v>
      </c>
      <c r="D54" s="9" t="s">
        <v>30</v>
      </c>
      <c r="E54" s="9" t="s">
        <v>180</v>
      </c>
      <c r="F54" s="9"/>
      <c r="G54" s="10"/>
      <c r="H54" s="9" t="s">
        <v>62</v>
      </c>
      <c r="I54" s="9"/>
    </row>
    <row r="55" customFormat="false" ht="23.85" hidden="false" customHeight="false" outlineLevel="0" collapsed="false">
      <c r="A55" s="9" t="s">
        <v>14</v>
      </c>
      <c r="B55" s="9" t="s">
        <v>185</v>
      </c>
      <c r="C55" s="9" t="s">
        <v>43</v>
      </c>
      <c r="D55" s="9" t="s">
        <v>39</v>
      </c>
      <c r="E55" s="9" t="s">
        <v>180</v>
      </c>
      <c r="F55" s="9" t="s">
        <v>186</v>
      </c>
      <c r="G55" s="10"/>
      <c r="H55" s="9" t="s">
        <v>122</v>
      </c>
      <c r="I55" s="9" t="s">
        <v>187</v>
      </c>
    </row>
    <row r="56" customFormat="false" ht="23.85" hidden="false" customHeight="false" outlineLevel="0" collapsed="false">
      <c r="A56" s="9" t="s">
        <v>14</v>
      </c>
      <c r="B56" s="9" t="s">
        <v>188</v>
      </c>
      <c r="C56" s="9" t="s">
        <v>29</v>
      </c>
      <c r="D56" s="9" t="s">
        <v>39</v>
      </c>
      <c r="E56" s="9" t="s">
        <v>180</v>
      </c>
      <c r="F56" s="9" t="s">
        <v>189</v>
      </c>
      <c r="G56" s="10"/>
      <c r="H56" s="9" t="s">
        <v>190</v>
      </c>
      <c r="I56" s="9" t="s">
        <v>191</v>
      </c>
    </row>
    <row r="57" customFormat="false" ht="15" hidden="false" customHeight="false" outlineLevel="0" collapsed="false">
      <c r="A57" s="9" t="s">
        <v>14</v>
      </c>
      <c r="B57" s="9" t="s">
        <v>192</v>
      </c>
      <c r="C57" s="9" t="s">
        <v>43</v>
      </c>
      <c r="D57" s="9" t="s">
        <v>39</v>
      </c>
      <c r="E57" s="9" t="s">
        <v>193</v>
      </c>
      <c r="F57" s="9"/>
      <c r="G57" s="10"/>
      <c r="H57" s="9" t="s">
        <v>156</v>
      </c>
      <c r="I57" s="9" t="s">
        <v>194</v>
      </c>
    </row>
    <row r="58" customFormat="false" ht="23.85" hidden="false" customHeight="false" outlineLevel="0" collapsed="false">
      <c r="A58" s="9" t="s">
        <v>15</v>
      </c>
      <c r="B58" s="9" t="s">
        <v>195</v>
      </c>
      <c r="C58" s="9" t="s">
        <v>15</v>
      </c>
      <c r="D58" s="9" t="s">
        <v>39</v>
      </c>
      <c r="E58" s="9" t="s">
        <v>196</v>
      </c>
      <c r="F58" s="9" t="s">
        <v>197</v>
      </c>
      <c r="G58" s="10"/>
      <c r="H58" s="9" t="s">
        <v>198</v>
      </c>
      <c r="I58" s="9" t="s">
        <v>199</v>
      </c>
    </row>
    <row r="59" customFormat="false" ht="23.85" hidden="false" customHeight="false" outlineLevel="0" collapsed="false">
      <c r="A59" s="9" t="s">
        <v>15</v>
      </c>
      <c r="B59" s="9" t="s">
        <v>200</v>
      </c>
      <c r="C59" s="9" t="s">
        <v>15</v>
      </c>
      <c r="D59" s="9" t="s">
        <v>30</v>
      </c>
      <c r="E59" s="9" t="s">
        <v>201</v>
      </c>
      <c r="F59" s="9" t="s">
        <v>202</v>
      </c>
      <c r="G59" s="10"/>
      <c r="H59" s="9" t="s">
        <v>203</v>
      </c>
      <c r="I59" s="9" t="s">
        <v>204</v>
      </c>
    </row>
  </sheetData>
  <autoFilter ref="A4:I59"/>
  <mergeCells count="1">
    <mergeCell ref="A2:I2"/>
  </mergeCells>
  <conditionalFormatting sqref="D5:D59">
    <cfRule type="cellIs" priority="2" operator="equal" aboveAverage="0" equalAverage="0" bottom="0" percent="0" rank="0" text="" dxfId="6">
      <formula>"Alta"</formula>
    </cfRule>
  </conditionalFormatting>
  <dataValidations count="1">
    <dataValidation allowBlank="false" errorStyle="stop" operator="between" showDropDown="false" showErrorMessage="false" showInputMessage="false" sqref="D5:D59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</row>
    <row r="2" customFormat="false" ht="35.05" hidden="false" customHeight="false" outlineLevel="0" collapsed="false">
      <c r="A2" s="9" t="s">
        <v>36</v>
      </c>
      <c r="B2" s="9" t="s">
        <v>213</v>
      </c>
      <c r="C2" s="9" t="s">
        <v>214</v>
      </c>
      <c r="D2" s="9" t="s">
        <v>215</v>
      </c>
      <c r="E2" s="9" t="s">
        <v>216</v>
      </c>
      <c r="F2" s="9" t="s">
        <v>217</v>
      </c>
      <c r="G2" s="9" t="s">
        <v>218</v>
      </c>
      <c r="H2" s="9" t="s">
        <v>219</v>
      </c>
    </row>
    <row r="3" customFormat="false" ht="46.25" hidden="false" customHeight="false" outlineLevel="0" collapsed="false">
      <c r="A3" s="9" t="s">
        <v>77</v>
      </c>
      <c r="B3" s="9" t="s">
        <v>220</v>
      </c>
      <c r="C3" s="9" t="s">
        <v>221</v>
      </c>
      <c r="D3" s="9" t="s">
        <v>222</v>
      </c>
      <c r="E3" s="9" t="s">
        <v>223</v>
      </c>
      <c r="F3" s="9" t="s">
        <v>224</v>
      </c>
      <c r="G3" s="9" t="s">
        <v>225</v>
      </c>
      <c r="H3" s="9" t="s">
        <v>219</v>
      </c>
    </row>
    <row r="4" customFormat="false" ht="35.05" hidden="false" customHeight="false" outlineLevel="0" collapsed="false">
      <c r="A4" s="9" t="s">
        <v>168</v>
      </c>
      <c r="B4" s="9" t="s">
        <v>226</v>
      </c>
      <c r="C4" s="9" t="s">
        <v>227</v>
      </c>
      <c r="D4" s="9" t="s">
        <v>228</v>
      </c>
      <c r="E4" s="9" t="s">
        <v>229</v>
      </c>
      <c r="F4" s="9" t="s">
        <v>230</v>
      </c>
      <c r="G4" s="9" t="s">
        <v>231</v>
      </c>
      <c r="H4" s="9" t="s">
        <v>219</v>
      </c>
    </row>
    <row r="5" customFormat="false" ht="23.85" hidden="false" customHeight="false" outlineLevel="0" collapsed="false">
      <c r="A5" s="9" t="s">
        <v>232</v>
      </c>
      <c r="B5" s="9" t="s">
        <v>233</v>
      </c>
      <c r="C5" s="9" t="s">
        <v>234</v>
      </c>
      <c r="D5" s="9" t="s">
        <v>235</v>
      </c>
      <c r="E5" s="9" t="s">
        <v>236</v>
      </c>
      <c r="F5" s="9" t="s">
        <v>237</v>
      </c>
      <c r="G5" s="9" t="s">
        <v>238</v>
      </c>
      <c r="H5" s="9" t="s">
        <v>219</v>
      </c>
    </row>
    <row r="6" customFormat="false" ht="35.05" hidden="false" customHeight="false" outlineLevel="0" collapsed="false">
      <c r="A6" s="9" t="s">
        <v>239</v>
      </c>
      <c r="B6" s="9" t="s">
        <v>240</v>
      </c>
      <c r="C6" s="9" t="s">
        <v>241</v>
      </c>
      <c r="D6" s="9" t="s">
        <v>242</v>
      </c>
      <c r="E6" s="9" t="s">
        <v>243</v>
      </c>
      <c r="F6" s="9" t="s">
        <v>244</v>
      </c>
      <c r="G6" s="9" t="s">
        <v>245</v>
      </c>
      <c r="H6" s="9" t="s">
        <v>246</v>
      </c>
    </row>
    <row r="7" customFormat="false" ht="35.05" hidden="false" customHeight="false" outlineLevel="0" collapsed="false">
      <c r="A7" s="9" t="s">
        <v>247</v>
      </c>
      <c r="B7" s="9" t="s">
        <v>248</v>
      </c>
      <c r="C7" s="9" t="s">
        <v>249</v>
      </c>
      <c r="D7" s="9" t="s">
        <v>250</v>
      </c>
      <c r="E7" s="9" t="s">
        <v>251</v>
      </c>
      <c r="F7" s="9" t="s">
        <v>252</v>
      </c>
      <c r="G7" s="9" t="s">
        <v>253</v>
      </c>
      <c r="H7" s="9" t="s">
        <v>246</v>
      </c>
    </row>
    <row r="8" customFormat="false" ht="35.05" hidden="false" customHeight="false" outlineLevel="0" collapsed="false">
      <c r="A8" s="9" t="s">
        <v>254</v>
      </c>
      <c r="B8" s="9" t="s">
        <v>255</v>
      </c>
      <c r="C8" s="9" t="s">
        <v>214</v>
      </c>
      <c r="D8" s="9" t="s">
        <v>256</v>
      </c>
      <c r="E8" s="9" t="s">
        <v>257</v>
      </c>
      <c r="F8" s="9" t="s">
        <v>258</v>
      </c>
      <c r="G8" s="9" t="s">
        <v>259</v>
      </c>
      <c r="H8" s="9" t="s">
        <v>219</v>
      </c>
    </row>
    <row r="9" customFormat="false" ht="46.25" hidden="false" customHeight="false" outlineLevel="0" collapsed="false">
      <c r="A9" s="9" t="s">
        <v>58</v>
      </c>
      <c r="B9" s="9" t="s">
        <v>260</v>
      </c>
      <c r="C9" s="9" t="s">
        <v>261</v>
      </c>
      <c r="D9" s="9" t="s">
        <v>262</v>
      </c>
      <c r="E9" s="9" t="s">
        <v>263</v>
      </c>
      <c r="F9" s="9" t="s">
        <v>264</v>
      </c>
      <c r="G9" s="9" t="s">
        <v>265</v>
      </c>
      <c r="H9" s="9" t="s">
        <v>266</v>
      </c>
    </row>
    <row r="10" customFormat="false" ht="35.05" hidden="false" customHeight="false" outlineLevel="0" collapsed="false">
      <c r="A10" s="9" t="s">
        <v>267</v>
      </c>
      <c r="B10" s="9" t="s">
        <v>268</v>
      </c>
      <c r="C10" s="9" t="s">
        <v>269</v>
      </c>
      <c r="D10" s="9" t="s">
        <v>270</v>
      </c>
      <c r="E10" s="9" t="s">
        <v>271</v>
      </c>
      <c r="F10" s="9" t="s">
        <v>272</v>
      </c>
      <c r="G10" s="9" t="s">
        <v>273</v>
      </c>
      <c r="H10" s="9" t="s">
        <v>274</v>
      </c>
    </row>
    <row r="11" customFormat="false" ht="23.85" hidden="false" customHeight="false" outlineLevel="0" collapsed="false">
      <c r="A11" s="9" t="s">
        <v>275</v>
      </c>
      <c r="B11" s="9" t="s">
        <v>276</v>
      </c>
      <c r="C11" s="9" t="s">
        <v>277</v>
      </c>
      <c r="D11" s="9" t="s">
        <v>278</v>
      </c>
      <c r="E11" s="9" t="s">
        <v>279</v>
      </c>
      <c r="F11" s="9" t="s">
        <v>280</v>
      </c>
      <c r="G11" s="9" t="s">
        <v>281</v>
      </c>
      <c r="H11" s="9" t="s">
        <v>282</v>
      </c>
    </row>
    <row r="12" customFormat="false" ht="23.85" hidden="false" customHeight="false" outlineLevel="0" collapsed="false">
      <c r="A12" s="9" t="s">
        <v>283</v>
      </c>
      <c r="B12" s="9" t="s">
        <v>284</v>
      </c>
      <c r="C12" s="9" t="s">
        <v>285</v>
      </c>
      <c r="D12" s="9" t="s">
        <v>286</v>
      </c>
      <c r="E12" s="9" t="s">
        <v>287</v>
      </c>
      <c r="F12" s="9" t="s">
        <v>288</v>
      </c>
      <c r="G12" s="9" t="s">
        <v>289</v>
      </c>
      <c r="H12" s="9" t="s">
        <v>282</v>
      </c>
    </row>
    <row r="13" customFormat="false" ht="35.05" hidden="false" customHeight="false" outlineLevel="0" collapsed="false">
      <c r="A13" s="9" t="s">
        <v>290</v>
      </c>
      <c r="B13" s="9" t="s">
        <v>291</v>
      </c>
      <c r="C13" s="9" t="s">
        <v>214</v>
      </c>
      <c r="D13" s="9" t="s">
        <v>292</v>
      </c>
      <c r="E13" s="9" t="s">
        <v>293</v>
      </c>
      <c r="F13" s="9" t="s">
        <v>294</v>
      </c>
      <c r="G13" s="9" t="s">
        <v>295</v>
      </c>
      <c r="H13" s="9" t="s">
        <v>296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64"/>
    <col collapsed="false" customWidth="true" hidden="false" outlineLevel="0" max="6" min="6" style="0" width="12"/>
    <col collapsed="false" customWidth="true" hidden="false" outlineLevel="0" max="7" min="7" style="0" width="44"/>
  </cols>
  <sheetData>
    <row r="1" customFormat="false" ht="31.5" hidden="false" customHeight="true" outlineLevel="0" collapsed="false">
      <c r="A1" s="2" t="s">
        <v>297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</row>
    <row r="2" customFormat="false" ht="23.85" hidden="false" customHeight="false" outlineLevel="0" collapsed="false">
      <c r="A2" s="9" t="s">
        <v>304</v>
      </c>
      <c r="B2" s="9" t="s">
        <v>28</v>
      </c>
      <c r="C2" s="9" t="s">
        <v>305</v>
      </c>
      <c r="D2" s="11" t="n">
        <f aca="false">LEN(C2)</f>
        <v>57</v>
      </c>
      <c r="E2" s="9" t="s">
        <v>306</v>
      </c>
      <c r="F2" s="11" t="n">
        <f aca="false">LEN(E2)</f>
        <v>142</v>
      </c>
      <c r="G2" s="9" t="s">
        <v>307</v>
      </c>
    </row>
    <row r="3" customFormat="false" ht="23.85" hidden="false" customHeight="false" outlineLevel="0" collapsed="false">
      <c r="A3" s="9" t="s">
        <v>50</v>
      </c>
      <c r="B3" s="9" t="s">
        <v>54</v>
      </c>
      <c r="C3" s="9" t="s">
        <v>308</v>
      </c>
      <c r="D3" s="11" t="n">
        <f aca="false">LEN(C3)</f>
        <v>58</v>
      </c>
      <c r="E3" s="9" t="s">
        <v>309</v>
      </c>
      <c r="F3" s="11" t="n">
        <f aca="false">LEN(E3)</f>
        <v>124</v>
      </c>
      <c r="G3" s="9" t="s">
        <v>310</v>
      </c>
    </row>
    <row r="4" customFormat="false" ht="23.85" hidden="false" customHeight="false" outlineLevel="0" collapsed="false">
      <c r="A4" s="9" t="s">
        <v>81</v>
      </c>
      <c r="B4" s="9" t="s">
        <v>80</v>
      </c>
      <c r="C4" s="9" t="s">
        <v>311</v>
      </c>
      <c r="D4" s="11" t="n">
        <f aca="false">LEN(C4)</f>
        <v>54</v>
      </c>
      <c r="E4" s="9" t="s">
        <v>312</v>
      </c>
      <c r="F4" s="11" t="n">
        <f aca="false">LEN(E4)</f>
        <v>119</v>
      </c>
      <c r="G4" s="9" t="s">
        <v>313</v>
      </c>
    </row>
    <row r="5" customFormat="false" ht="23.85" hidden="false" customHeight="false" outlineLevel="0" collapsed="false">
      <c r="A5" s="9" t="s">
        <v>106</v>
      </c>
      <c r="B5" s="9" t="s">
        <v>105</v>
      </c>
      <c r="C5" s="9" t="s">
        <v>314</v>
      </c>
      <c r="D5" s="11" t="n">
        <f aca="false">LEN(C5)</f>
        <v>60</v>
      </c>
      <c r="E5" s="9" t="s">
        <v>315</v>
      </c>
      <c r="F5" s="11" t="n">
        <f aca="false">LEN(E5)</f>
        <v>133</v>
      </c>
      <c r="G5" s="9" t="s">
        <v>316</v>
      </c>
    </row>
    <row r="6" customFormat="false" ht="23.85" hidden="false" customHeight="false" outlineLevel="0" collapsed="false">
      <c r="A6" s="9" t="s">
        <v>125</v>
      </c>
      <c r="B6" s="9" t="s">
        <v>128</v>
      </c>
      <c r="C6" s="9" t="s">
        <v>317</v>
      </c>
      <c r="D6" s="11" t="n">
        <f aca="false">LEN(C6)</f>
        <v>62</v>
      </c>
      <c r="E6" s="9" t="s">
        <v>318</v>
      </c>
      <c r="F6" s="11" t="n">
        <f aca="false">LEN(E6)</f>
        <v>120</v>
      </c>
      <c r="G6" s="9" t="s">
        <v>319</v>
      </c>
    </row>
    <row r="7" customFormat="false" ht="23.85" hidden="false" customHeight="false" outlineLevel="0" collapsed="false">
      <c r="A7" s="9" t="s">
        <v>144</v>
      </c>
      <c r="B7" s="9" t="s">
        <v>146</v>
      </c>
      <c r="C7" s="9" t="s">
        <v>320</v>
      </c>
      <c r="D7" s="11" t="n">
        <f aca="false">LEN(C7)</f>
        <v>60</v>
      </c>
      <c r="E7" s="9" t="s">
        <v>321</v>
      </c>
      <c r="F7" s="11" t="n">
        <f aca="false">LEN(E7)</f>
        <v>121</v>
      </c>
      <c r="G7" s="9" t="s">
        <v>322</v>
      </c>
    </row>
    <row r="8" customFormat="false" ht="23.85" hidden="false" customHeight="false" outlineLevel="0" collapsed="false">
      <c r="A8" s="9" t="s">
        <v>150</v>
      </c>
      <c r="B8" s="9" t="s">
        <v>149</v>
      </c>
      <c r="C8" s="9" t="s">
        <v>323</v>
      </c>
      <c r="D8" s="11" t="n">
        <f aca="false">LEN(C8)</f>
        <v>59</v>
      </c>
      <c r="E8" s="9" t="s">
        <v>324</v>
      </c>
      <c r="F8" s="11" t="n">
        <f aca="false">LEN(E8)</f>
        <v>127</v>
      </c>
      <c r="G8" s="9" t="s">
        <v>325</v>
      </c>
    </row>
    <row r="9" customFormat="false" ht="23.85" hidden="false" customHeight="false" outlineLevel="0" collapsed="false">
      <c r="A9" s="9" t="s">
        <v>64</v>
      </c>
      <c r="B9" s="9" t="s">
        <v>162</v>
      </c>
      <c r="C9" s="9" t="s">
        <v>326</v>
      </c>
      <c r="D9" s="11" t="n">
        <f aca="false">LEN(C9)</f>
        <v>58</v>
      </c>
      <c r="E9" s="9" t="s">
        <v>327</v>
      </c>
      <c r="F9" s="11" t="n">
        <f aca="false">LEN(E9)</f>
        <v>100</v>
      </c>
      <c r="G9" s="9" t="s">
        <v>328</v>
      </c>
    </row>
    <row r="10" customFormat="false" ht="23.85" hidden="false" customHeight="false" outlineLevel="0" collapsed="false">
      <c r="A10" s="9" t="s">
        <v>104</v>
      </c>
      <c r="B10" s="9" t="s">
        <v>171</v>
      </c>
      <c r="C10" s="9" t="s">
        <v>329</v>
      </c>
      <c r="D10" s="11" t="n">
        <f aca="false">LEN(C10)</f>
        <v>59</v>
      </c>
      <c r="E10" s="9" t="s">
        <v>330</v>
      </c>
      <c r="F10" s="11" t="n">
        <f aca="false">LEN(E10)</f>
        <v>103</v>
      </c>
      <c r="G10" s="9" t="s">
        <v>331</v>
      </c>
    </row>
    <row r="11" customFormat="false" ht="23.85" hidden="false" customHeight="false" outlineLevel="0" collapsed="false">
      <c r="A11" s="9" t="s">
        <v>180</v>
      </c>
      <c r="B11" s="9" t="s">
        <v>179</v>
      </c>
      <c r="C11" s="9" t="s">
        <v>332</v>
      </c>
      <c r="D11" s="11" t="n">
        <f aca="false">LEN(C11)</f>
        <v>59</v>
      </c>
      <c r="E11" s="9" t="s">
        <v>333</v>
      </c>
      <c r="F11" s="11" t="n">
        <f aca="false">LEN(E11)</f>
        <v>114</v>
      </c>
      <c r="G11" s="9" t="s">
        <v>334</v>
      </c>
    </row>
    <row r="13" customFormat="false" ht="15" hidden="false" customHeight="false" outlineLevel="0" collapsed="false">
      <c r="A13" s="7" t="s">
        <v>335</v>
      </c>
    </row>
  </sheetData>
  <conditionalFormatting sqref="D2:D11">
    <cfRule type="cellIs" priority="2" operator="greaterThan" aboveAverage="0" equalAverage="0" bottom="0" percent="0" rank="0" text="" dxfId="7">
      <formula>60</formula>
    </cfRule>
  </conditionalFormatting>
  <conditionalFormatting sqref="F2:F11">
    <cfRule type="cellIs" priority="3" operator="greaterThan" aboveAverage="0" equalAverage="0" bottom="0" percent="0" rank="0" text="" dxfId="7">
      <formula>155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2" t="s">
        <v>336</v>
      </c>
      <c r="B1" s="2" t="s">
        <v>1</v>
      </c>
      <c r="C1" s="2" t="s">
        <v>337</v>
      </c>
      <c r="D1" s="2" t="s">
        <v>338</v>
      </c>
    </row>
    <row r="2" customFormat="false" ht="15" hidden="false" customHeight="false" outlineLevel="0" collapsed="false">
      <c r="A2" s="9" t="s">
        <v>339</v>
      </c>
      <c r="B2" s="9" t="s">
        <v>6</v>
      </c>
      <c r="C2" s="9" t="s">
        <v>156</v>
      </c>
      <c r="D2" s="9" t="s">
        <v>50</v>
      </c>
    </row>
    <row r="3" customFormat="false" ht="15" hidden="false" customHeight="false" outlineLevel="0" collapsed="false">
      <c r="A3" s="9" t="s">
        <v>340</v>
      </c>
      <c r="B3" s="9" t="s">
        <v>6</v>
      </c>
      <c r="C3" s="9" t="s">
        <v>156</v>
      </c>
      <c r="D3" s="9" t="s">
        <v>50</v>
      </c>
    </row>
    <row r="4" customFormat="false" ht="15" hidden="false" customHeight="false" outlineLevel="0" collapsed="false">
      <c r="A4" s="9" t="s">
        <v>341</v>
      </c>
      <c r="B4" s="9" t="s">
        <v>5</v>
      </c>
      <c r="C4" s="9" t="s">
        <v>156</v>
      </c>
      <c r="D4" s="9" t="s">
        <v>304</v>
      </c>
    </row>
    <row r="5" customFormat="false" ht="15" hidden="false" customHeight="false" outlineLevel="0" collapsed="false">
      <c r="A5" s="9" t="s">
        <v>342</v>
      </c>
      <c r="B5" s="9" t="s">
        <v>11</v>
      </c>
      <c r="C5" s="9" t="s">
        <v>343</v>
      </c>
      <c r="D5" s="9" t="s">
        <v>144</v>
      </c>
    </row>
    <row r="6" customFormat="false" ht="15" hidden="false" customHeight="false" outlineLevel="0" collapsed="false">
      <c r="A6" s="9" t="s">
        <v>344</v>
      </c>
      <c r="B6" s="9" t="s">
        <v>11</v>
      </c>
      <c r="C6" s="9" t="s">
        <v>156</v>
      </c>
      <c r="D6" s="9" t="s">
        <v>150</v>
      </c>
    </row>
    <row r="7" customFormat="false" ht="15" hidden="false" customHeight="false" outlineLevel="0" collapsed="false">
      <c r="A7" s="9" t="s">
        <v>345</v>
      </c>
      <c r="B7" s="9" t="s">
        <v>11</v>
      </c>
      <c r="C7" s="9" t="s">
        <v>156</v>
      </c>
      <c r="D7" s="9" t="s">
        <v>144</v>
      </c>
    </row>
    <row r="8" customFormat="false" ht="15" hidden="false" customHeight="false" outlineLevel="0" collapsed="false">
      <c r="A8" s="9" t="s">
        <v>346</v>
      </c>
      <c r="B8" s="9" t="s">
        <v>12</v>
      </c>
      <c r="C8" s="9" t="s">
        <v>156</v>
      </c>
      <c r="D8" s="9" t="s">
        <v>64</v>
      </c>
    </row>
    <row r="9" customFormat="false" ht="15" hidden="false" customHeight="false" outlineLevel="0" collapsed="false">
      <c r="A9" s="9" t="s">
        <v>347</v>
      </c>
      <c r="B9" s="9" t="s">
        <v>7</v>
      </c>
      <c r="C9" s="9" t="s">
        <v>156</v>
      </c>
      <c r="D9" s="9" t="s">
        <v>81</v>
      </c>
    </row>
    <row r="10" customFormat="false" ht="23.85" hidden="false" customHeight="false" outlineLevel="0" collapsed="false">
      <c r="A10" s="9" t="s">
        <v>348</v>
      </c>
      <c r="B10" s="9" t="s">
        <v>9</v>
      </c>
      <c r="C10" s="9" t="s">
        <v>343</v>
      </c>
      <c r="D10" s="9" t="s">
        <v>106</v>
      </c>
    </row>
    <row r="11" customFormat="false" ht="23.85" hidden="false" customHeight="false" outlineLevel="0" collapsed="false">
      <c r="A11" s="9" t="s">
        <v>349</v>
      </c>
      <c r="B11" s="9" t="s">
        <v>9</v>
      </c>
      <c r="C11" s="9" t="s">
        <v>122</v>
      </c>
      <c r="D11" s="9" t="s">
        <v>106</v>
      </c>
    </row>
    <row r="12" customFormat="false" ht="15" hidden="false" customHeight="false" outlineLevel="0" collapsed="false">
      <c r="A12" s="9" t="s">
        <v>350</v>
      </c>
      <c r="B12" s="9" t="s">
        <v>10</v>
      </c>
      <c r="C12" s="9" t="s">
        <v>156</v>
      </c>
      <c r="D12" s="9" t="s">
        <v>125</v>
      </c>
    </row>
    <row r="13" customFormat="false" ht="15" hidden="false" customHeight="false" outlineLevel="0" collapsed="false">
      <c r="A13" s="9" t="s">
        <v>351</v>
      </c>
      <c r="B13" s="9" t="s">
        <v>10</v>
      </c>
      <c r="C13" s="9" t="s">
        <v>122</v>
      </c>
      <c r="D13" s="9" t="s">
        <v>125</v>
      </c>
    </row>
    <row r="14" customFormat="false" ht="15" hidden="false" customHeight="false" outlineLevel="0" collapsed="false">
      <c r="A14" s="9" t="s">
        <v>352</v>
      </c>
      <c r="B14" s="9" t="s">
        <v>14</v>
      </c>
      <c r="C14" s="9" t="s">
        <v>122</v>
      </c>
      <c r="D14" s="9" t="s">
        <v>180</v>
      </c>
    </row>
    <row r="15" customFormat="false" ht="15" hidden="false" customHeight="false" outlineLevel="0" collapsed="false">
      <c r="A15" s="9" t="s">
        <v>353</v>
      </c>
      <c r="B15" s="9" t="s">
        <v>14</v>
      </c>
      <c r="C15" s="9" t="s">
        <v>156</v>
      </c>
      <c r="D15" s="9" t="s">
        <v>180</v>
      </c>
    </row>
    <row r="16" customFormat="false" ht="15" hidden="false" customHeight="false" outlineLevel="0" collapsed="false">
      <c r="A16" s="9" t="s">
        <v>354</v>
      </c>
      <c r="B16" s="9" t="s">
        <v>5</v>
      </c>
      <c r="C16" s="9" t="s">
        <v>122</v>
      </c>
      <c r="D16" s="9" t="s">
        <v>304</v>
      </c>
    </row>
    <row r="17" customFormat="false" ht="15" hidden="false" customHeight="false" outlineLevel="0" collapsed="false">
      <c r="A17" s="9" t="s">
        <v>355</v>
      </c>
      <c r="B17" s="9" t="s">
        <v>5</v>
      </c>
      <c r="C17" s="9" t="s">
        <v>122</v>
      </c>
      <c r="D17" s="9" t="s">
        <v>304</v>
      </c>
    </row>
    <row r="18" customFormat="false" ht="15" hidden="false" customHeight="false" outlineLevel="0" collapsed="false">
      <c r="A18" s="9" t="s">
        <v>356</v>
      </c>
      <c r="B18" s="9" t="s">
        <v>5</v>
      </c>
      <c r="C18" s="9" t="s">
        <v>122</v>
      </c>
      <c r="D18" s="9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2" t="s">
        <v>357</v>
      </c>
    </row>
    <row r="2" customFormat="false" ht="23.85" hidden="false" customHeight="false" outlineLevel="0" collapsed="false">
      <c r="A2" s="13" t="s">
        <v>358</v>
      </c>
    </row>
    <row r="3" customFormat="false" ht="15" hidden="false" customHeight="false" outlineLevel="0" collapsed="false">
      <c r="A3" s="13" t="s">
        <v>359</v>
      </c>
    </row>
    <row r="4" customFormat="false" ht="15" hidden="false" customHeight="false" outlineLevel="0" collapsed="false">
      <c r="A4" s="13" t="s">
        <v>360</v>
      </c>
    </row>
    <row r="5" customFormat="false" ht="23.85" hidden="false" customHeight="false" outlineLevel="0" collapsed="false">
      <c r="A5" s="13" t="s">
        <v>361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2" t="s">
        <v>362</v>
      </c>
    </row>
    <row r="8" customFormat="false" ht="15" hidden="false" customHeight="false" outlineLevel="0" collapsed="false">
      <c r="A8" s="13" t="s">
        <v>363</v>
      </c>
    </row>
    <row r="9" customFormat="false" ht="15" hidden="false" customHeight="false" outlineLevel="0" collapsed="false">
      <c r="A9" s="13" t="s">
        <v>364</v>
      </c>
    </row>
    <row r="10" customFormat="false" ht="15" hidden="false" customHeight="false" outlineLevel="0" collapsed="false">
      <c r="A10" s="13" t="s">
        <v>365</v>
      </c>
    </row>
    <row r="11" customFormat="false" ht="15" hidden="false" customHeight="false" outlineLevel="0" collapsed="false">
      <c r="A11" s="13" t="s">
        <v>366</v>
      </c>
    </row>
    <row r="12" customFormat="false" ht="15" hidden="false" customHeight="false" outlineLevel="0" collapsed="false">
      <c r="A12" s="13" t="s">
        <v>367</v>
      </c>
    </row>
    <row r="13" customFormat="false" ht="15" hidden="false" customHeight="false" outlineLevel="0" collapsed="false">
      <c r="A13" s="13" t="s">
        <v>368</v>
      </c>
    </row>
    <row r="14" customFormat="false" ht="15" hidden="false" customHeight="false" outlineLevel="0" collapsed="false">
      <c r="A14" s="13" t="s">
        <v>369</v>
      </c>
    </row>
    <row r="15" customFormat="false" ht="15" hidden="false" customHeight="false" outlineLevel="0" collapsed="false">
      <c r="A15" s="13" t="s">
        <v>370</v>
      </c>
    </row>
    <row r="16" customFormat="false" ht="15" hidden="false" customHeight="false" outlineLevel="0" collapsed="false">
      <c r="A16" s="13" t="s">
        <v>371</v>
      </c>
    </row>
    <row r="17" customFormat="false" ht="15" hidden="false" customHeight="false" outlineLevel="0" collapsed="false">
      <c r="A17" s="13" t="s">
        <v>372</v>
      </c>
    </row>
    <row r="18" customFormat="false" ht="15" hidden="false" customHeight="false" outlineLevel="0" collapsed="false">
      <c r="A18" s="13" t="s">
        <v>373</v>
      </c>
    </row>
    <row r="19" customFormat="false" ht="15" hidden="false" customHeight="false" outlineLevel="0" collapsed="false">
      <c r="A19" s="13" t="s">
        <v>374</v>
      </c>
    </row>
    <row r="20" customFormat="false" ht="15" hidden="false" customHeight="false" outlineLevel="0" collapsed="false">
      <c r="A20" s="13" t="s">
        <v>375</v>
      </c>
    </row>
    <row r="21" customFormat="false" ht="23.85" hidden="false" customHeight="false" outlineLevel="0" collapsed="false">
      <c r="A21" s="13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2026-09-29T16:16:24Z</dcterms:created>
  <dc:creator>openpyxl</dc:creator>
  <dc:description/>
  <dc:language>en-US</dc:language>
  <cp:lastModifiedBy/>
  <dcterms:modified xsi:type="dcterms:W3CDTF">2026-09-29T16:16:25Z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